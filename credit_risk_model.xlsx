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heaarora/claude-projects/resume-to-portfolio/"/>
    </mc:Choice>
  </mc:AlternateContent>
  <xr:revisionPtr revIDLastSave="0" documentId="13_ncr:1_{2FF34BF3-4D52-2148-9EDC-03329D05CBE8}" xr6:coauthVersionLast="47" xr6:coauthVersionMax="47" xr10:uidLastSave="{00000000-0000-0000-0000-000000000000}"/>
  <bookViews>
    <workbookView xWindow="0" yWindow="600" windowWidth="28800" windowHeight="15820" activeTab="1" xr2:uid="{00000000-000D-0000-FFFF-FFFF00000000}"/>
  </bookViews>
  <sheets>
    <sheet name="Cover" sheetId="1" r:id="rId1"/>
    <sheet name="Portfolio Summary" sheetId="2" r:id="rId2"/>
    <sheet name="Borrower Profile" sheetId="3" r:id="rId3"/>
    <sheet name="Risk Distribution" sheetId="4" r:id="rId4"/>
    <sheet name="Stress Testing" sheetId="5" r:id="rId5"/>
    <sheet name="Vintage 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C10" i="5"/>
  <c r="B10" i="5"/>
  <c r="D9" i="5"/>
  <c r="C9" i="5"/>
  <c r="B9" i="5"/>
  <c r="B48" i="2"/>
  <c r="B47" i="2"/>
  <c r="D11" i="5" l="1"/>
  <c r="D13" i="5" s="1"/>
  <c r="D12" i="5"/>
  <c r="C11" i="5"/>
  <c r="C13" i="5" s="1"/>
  <c r="C12" i="5"/>
  <c r="B11" i="5"/>
  <c r="B13" i="5" s="1"/>
  <c r="B12" i="5"/>
</calcChain>
</file>

<file path=xl/sharedStrings.xml><?xml version="1.0" encoding="utf-8"?>
<sst xmlns="http://schemas.openxmlformats.org/spreadsheetml/2006/main" count="343" uniqueCount="268">
  <si>
    <t>CREDIT RISK ANALYSIS MODEL</t>
  </si>
  <si>
    <t>Comprehensive Portfolio Risk Assessment  |  Expected Loss Framework  |  v1.0</t>
  </si>
  <si>
    <t xml:space="preserve">  MODEL INFORMATION</t>
  </si>
  <si>
    <t>Version</t>
  </si>
  <si>
    <t>1.0</t>
  </si>
  <si>
    <t>Date</t>
  </si>
  <si>
    <t>Analyst</t>
  </si>
  <si>
    <t>Rohan - Senior Credit Risk Analyst</t>
  </si>
  <si>
    <t>Dataset</t>
  </si>
  <si>
    <t>credit_risk_dataset.csv</t>
  </si>
  <si>
    <t>Total Records</t>
  </si>
  <si>
    <t>Scope</t>
  </si>
  <si>
    <t>Consumer Lending Portfolio</t>
  </si>
  <si>
    <t>Classification</t>
  </si>
  <si>
    <t>INTERNAL USE ONLY</t>
  </si>
  <si>
    <t xml:space="preserve">  SHEET INDEX</t>
  </si>
  <si>
    <t xml:space="preserve">  Sheet 1 – Cover</t>
  </si>
  <si>
    <t>Model overview and metadata</t>
  </si>
  <si>
    <t xml:space="preserve">  Sheet 2 – Portfolio Summary</t>
  </si>
  <si>
    <t>KPIs, default rates, Expected Loss calculation</t>
  </si>
  <si>
    <t xml:space="preserve">  Sheet 3 – Borrower Profile</t>
  </si>
  <si>
    <t>Demographics: age, income, employment</t>
  </si>
  <si>
    <t xml:space="preserve">  Sheet 4 – Risk Distribution</t>
  </si>
  <si>
    <t>Grade EL, tier concentration, LTI</t>
  </si>
  <si>
    <t xml:space="preserve">  Sheet 5 – Stress Testing</t>
  </si>
  <si>
    <t>Base / Adverse / Severe scenarios + sensitivity</t>
  </si>
  <si>
    <t xml:space="preserve">  Sheet 6 – Vintage Analysis</t>
  </si>
  <si>
    <t>Cohort 12M / 24M / 36M default curves</t>
  </si>
  <si>
    <t>Forward-looking estimates only. Not for external distribution.</t>
  </si>
  <si>
    <t xml:space="preserve">  A.  KEY PORTFOLIO METRICS</t>
  </si>
  <si>
    <t>Metric</t>
  </si>
  <si>
    <t>Value</t>
  </si>
  <si>
    <t>Notes</t>
  </si>
  <si>
    <t>Total Loans</t>
  </si>
  <si>
    <t>Number of loan contracts</t>
  </si>
  <si>
    <t>Total Exposure (EAD)</t>
  </si>
  <si>
    <t>Sum of outstanding balances</t>
  </si>
  <si>
    <t>Average Loan Amount</t>
  </si>
  <si>
    <t>Mean loan size</t>
  </si>
  <si>
    <t>Overall Default Rate</t>
  </si>
  <si>
    <t>Observed (loan_status = 1)</t>
  </si>
  <si>
    <t>Total Defaults</t>
  </si>
  <si>
    <t>Count of defaulted loans</t>
  </si>
  <si>
    <t>Null: emp_length</t>
  </si>
  <si>
    <t>Missing employment records</t>
  </si>
  <si>
    <t>Null: int_rate</t>
  </si>
  <si>
    <t>Missing interest rate records</t>
  </si>
  <si>
    <t xml:space="preserve">  B.  DEFAULT RATE BY LOAN GRADE</t>
  </si>
  <si>
    <t>Grade</t>
  </si>
  <si>
    <t># Loans</t>
  </si>
  <si>
    <t>Total Exposure</t>
  </si>
  <si>
    <t>Default Rate</t>
  </si>
  <si>
    <t>Avg Int Rate</t>
  </si>
  <si>
    <t>A</t>
  </si>
  <si>
    <t>B</t>
  </si>
  <si>
    <t>C</t>
  </si>
  <si>
    <t>D</t>
  </si>
  <si>
    <t>E</t>
  </si>
  <si>
    <t>F</t>
  </si>
  <si>
    <t>G</t>
  </si>
  <si>
    <t xml:space="preserve">  C.  DEFAULT RATE BY HOME OWNERSHIP</t>
  </si>
  <si>
    <t>Ownership</t>
  </si>
  <si>
    <t>% of Portfolio</t>
  </si>
  <si>
    <t>OWN</t>
  </si>
  <si>
    <t>MORTGAGE</t>
  </si>
  <si>
    <t>OTHER</t>
  </si>
  <si>
    <t>RENT</t>
  </si>
  <si>
    <t xml:space="preserve">  D.  DEFAULT RATE BY LOAN INTENT</t>
  </si>
  <si>
    <t>Loan Intent</t>
  </si>
  <si>
    <t>VENTURE</t>
  </si>
  <si>
    <t>EDUCATION</t>
  </si>
  <si>
    <t>PERSONAL</t>
  </si>
  <si>
    <t>HOMEIMPROVEMENT</t>
  </si>
  <si>
    <t>MEDICAL</t>
  </si>
  <si>
    <t>DEBTCONSOLIDATION</t>
  </si>
  <si>
    <t xml:space="preserve">  E.  AVERAGE INTEREST RATE BY RISK TIER</t>
  </si>
  <si>
    <t>Risk Tier</t>
  </si>
  <si>
    <t>Prime</t>
  </si>
  <si>
    <t>Near-Prime</t>
  </si>
  <si>
    <t>Subprime</t>
  </si>
  <si>
    <t xml:space="preserve">  F.  EXPECTED LOSS  (EL = PD × LGD × EAD)</t>
  </si>
  <si>
    <t>LGD – Loss Given Default  (Edit here)</t>
  </si>
  <si>
    <t>Basel assumption — blue cell is editable</t>
  </si>
  <si>
    <t>EAD – Total Portfolio Exposure</t>
  </si>
  <si>
    <t>PD – Observed Default Rate</t>
  </si>
  <si>
    <t>► Expected Loss (EL)</t>
  </si>
  <si>
    <t>Expected Loss Rate</t>
  </si>
  <si>
    <t xml:space="preserve">  KEY MODEL ASSUMPTIONS</t>
  </si>
  <si>
    <t>LGD – Loss Given Default</t>
  </si>
  <si>
    <t>Capital Adequacy Ratio</t>
  </si>
  <si>
    <t>Observation Period</t>
  </si>
  <si>
    <t>Cross-sectional</t>
  </si>
  <si>
    <t>PD Estimation</t>
  </si>
  <si>
    <t>Observed (historical)</t>
  </si>
  <si>
    <t>Seasoning: 12-Month Factor</t>
  </si>
  <si>
    <t>Seasoning: 24-Month Factor</t>
  </si>
  <si>
    <t>EAD</t>
  </si>
  <si>
    <t>Estimated Expected Loss (EL)</t>
  </si>
  <si>
    <t>EL Rate (PD × LGD)</t>
  </si>
  <si>
    <t>Data Source</t>
  </si>
  <si>
    <t xml:space="preserve">  A.  DEFAULT RATE BY AGE BUCKET</t>
  </si>
  <si>
    <t>Age Bucket</t>
  </si>
  <si>
    <t>Avg Loan ($)</t>
  </si>
  <si>
    <t>Avg Income ($)</t>
  </si>
  <si>
    <t>18–24</t>
  </si>
  <si>
    <t>25–34</t>
  </si>
  <si>
    <t>35–44</t>
  </si>
  <si>
    <t>45–54</t>
  </si>
  <si>
    <t>55–64</t>
  </si>
  <si>
    <t>65+</t>
  </si>
  <si>
    <t xml:space="preserve">  B.  DEFAULT RATE BY INCOME QUARTILE</t>
  </si>
  <si>
    <t>Income Quartile</t>
  </si>
  <si>
    <t>Income Range</t>
  </si>
  <si>
    <t>Q1 (Lowest)</t>
  </si>
  <si>
    <t>$4,000 – $38,500</t>
  </si>
  <si>
    <t>Q2</t>
  </si>
  <si>
    <t>$38,556 – $55,000</t>
  </si>
  <si>
    <t>Q3</t>
  </si>
  <si>
    <t>$55,004 – $79,200</t>
  </si>
  <si>
    <t>Q4 (Highest)</t>
  </si>
  <si>
    <t>$79,272 – $6,000,000</t>
  </si>
  <si>
    <t xml:space="preserve">  C.  DEFAULT RATE BY EMPLOYMENT LENGTH</t>
  </si>
  <si>
    <t>Employment Length</t>
  </si>
  <si>
    <t>&lt;1yr</t>
  </si>
  <si>
    <t>1-2yrs</t>
  </si>
  <si>
    <t>3-4yrs</t>
  </si>
  <si>
    <t>5-9yrs</t>
  </si>
  <si>
    <t>10+yrs</t>
  </si>
  <si>
    <t xml:space="preserve">  D.  PRIOR DEFAULT HISTORY (CREDIT BUREAU FILE)</t>
  </si>
  <si>
    <t>Prior Default</t>
  </si>
  <si>
    <t>No – Clean History</t>
  </si>
  <si>
    <t>Yes – Prior Default</t>
  </si>
  <si>
    <t xml:space="preserve">  DEMOGRAPHIC NOTES</t>
  </si>
  <si>
    <t>Age data quality</t>
  </si>
  <si>
    <t>No outlier capping applied</t>
  </si>
  <si>
    <t>Income outliers</t>
  </si>
  <si>
    <t>Upper tail not trimmed</t>
  </si>
  <si>
    <t>Emp. length nulls</t>
  </si>
  <si>
    <t>895 records excluded</t>
  </si>
  <si>
    <t>Credit history</t>
  </si>
  <si>
    <t>cb_person_cred_hist_length</t>
  </si>
  <si>
    <t>Youngest borrower</t>
  </si>
  <si>
    <t>Oldest borrower</t>
  </si>
  <si>
    <t>Median income</t>
  </si>
  <si>
    <t>Median loan amount</t>
  </si>
  <si>
    <t xml:space="preserve">  A.  GRADE-LEVEL EXPOSURE &amp; EXPECTED LOSS  (LGD = 45%)</t>
  </si>
  <si>
    <t>PD</t>
  </si>
  <si>
    <t>Expected Loss</t>
  </si>
  <si>
    <t>EL / Exposure</t>
  </si>
  <si>
    <t>TOTAL</t>
  </si>
  <si>
    <t xml:space="preserve">  B.  RISK TIER CONCENTRATION</t>
  </si>
  <si>
    <t>% Portfolio</t>
  </si>
  <si>
    <t>% Exposure</t>
  </si>
  <si>
    <t>Avg PD</t>
  </si>
  <si>
    <t xml:space="preserve">  C.  LOAN-TO-INCOME RATIO ANALYSIS</t>
  </si>
  <si>
    <t>LTI Bucket</t>
  </si>
  <si>
    <t>0-10%</t>
  </si>
  <si>
    <t>10-20%</t>
  </si>
  <si>
    <t>20-30%</t>
  </si>
  <si>
    <t>30-50%</t>
  </si>
  <si>
    <t>50%+</t>
  </si>
  <si>
    <t xml:space="preserve">  RISK CALCULATION NOTES</t>
  </si>
  <si>
    <t>LGD Assumption</t>
  </si>
  <si>
    <t>Capital Ratio</t>
  </si>
  <si>
    <t>EL Formula</t>
  </si>
  <si>
    <t>PD × LGD × EAD</t>
  </si>
  <si>
    <t>PD Source</t>
  </si>
  <si>
    <t>Observed default rate</t>
  </si>
  <si>
    <t>Grade A PD</t>
  </si>
  <si>
    <t>Grade G PD</t>
  </si>
  <si>
    <t>Portfolio EL</t>
  </si>
  <si>
    <t xml:space="preserve">  A.  SCENARIO INPUT ASSUMPTIONS  (Blue cells are editable)</t>
  </si>
  <si>
    <t>Parameter</t>
  </si>
  <si>
    <t>Base</t>
  </si>
  <si>
    <t>Adverse</t>
  </si>
  <si>
    <t>Severely Adverse</t>
  </si>
  <si>
    <t>PD Multiplier (× Base PD)</t>
  </si>
  <si>
    <t>EAD Growth vs. Portfolio</t>
  </si>
  <si>
    <t xml:space="preserve">  B.  SCENARIO OUTPUT RESULTS</t>
  </si>
  <si>
    <t>Output Metric</t>
  </si>
  <si>
    <t>Stressed PD</t>
  </si>
  <si>
    <t>Stressed EAD ($)</t>
  </si>
  <si>
    <t>Expected Loss ($)</t>
  </si>
  <si>
    <t>Loss Rate (EL / EAD)</t>
  </si>
  <si>
    <t>Capital Impact (EL / Capital @ 8%)</t>
  </si>
  <si>
    <t xml:space="preserve">  C.  SENSITIVITY TABLE – EL by PD Multiplier × LGD</t>
  </si>
  <si>
    <t>Base EAD = $312,431,300  |  Base PD = 21.82%</t>
  </si>
  <si>
    <t>PD Mult  ↓  /  LGD  →</t>
  </si>
  <si>
    <t>LGD = 35%</t>
  </si>
  <si>
    <t>LGD = 45%</t>
  </si>
  <si>
    <t>LGD = 55%</t>
  </si>
  <si>
    <t>PD × 1  (21.82%)</t>
  </si>
  <si>
    <t>PD × 2  (43.63%)</t>
  </si>
  <si>
    <t>PD × 3  (65.45%)</t>
  </si>
  <si>
    <t xml:space="preserve">  STRESS TEST ASSUMPTIONS</t>
  </si>
  <si>
    <t>Base PD</t>
  </si>
  <si>
    <t xml:space="preserve">  D.  SCENARIO INTERPRETATION GUIDE</t>
  </si>
  <si>
    <t>Base LGD</t>
  </si>
  <si>
    <t>Scenario</t>
  </si>
  <si>
    <t>PD Mult</t>
  </si>
  <si>
    <t>LGD</t>
  </si>
  <si>
    <t>Economic Context</t>
  </si>
  <si>
    <t>Base EAD</t>
  </si>
  <si>
    <t>1.0×</t>
  </si>
  <si>
    <t>45%</t>
  </si>
  <si>
    <t>Normal operating conditions</t>
  </si>
  <si>
    <t>Adverse PD Mult</t>
  </si>
  <si>
    <t>1.75×</t>
  </si>
  <si>
    <t>55%</t>
  </si>
  <si>
    <t>Moderate economic downturn</t>
  </si>
  <si>
    <t>Severe PD Mult</t>
  </si>
  <si>
    <t>2.5×</t>
  </si>
  <si>
    <t>65%</t>
  </si>
  <si>
    <t>Severe recession / credit crisis</t>
  </si>
  <si>
    <t>Adverse LGD</t>
  </si>
  <si>
    <t>Severe LGD</t>
  </si>
  <si>
    <t>Severe</t>
  </si>
  <si>
    <t>Base EL</t>
  </si>
  <si>
    <t>Adverse EL</t>
  </si>
  <si>
    <t>Severe EL</t>
  </si>
  <si>
    <t xml:space="preserve">  VINTAGE ANALYSIS – Cohort Default Rate Curves  (Grade &amp; Intent Proxy)</t>
  </si>
  <si>
    <t>Methodology: No origination dates available. Rates are estimated via seasoning factors applied to observed terminal default rates.</t>
  </si>
  <si>
    <t>Seasoning factors: 12M = 40%  |  24M = 70%  |  36M = 100% (terminal observed).  Actual vintage curves require time-series data.</t>
  </si>
  <si>
    <t xml:space="preserve">  A.  CUMULATIVE DEFAULT RATE BY GRADE COHORT</t>
  </si>
  <si>
    <t>12M Est. CDR</t>
  </si>
  <si>
    <t>24M Est. CDR</t>
  </si>
  <si>
    <t>36M (Observed)</t>
  </si>
  <si>
    <t>Grade A</t>
  </si>
  <si>
    <t>Grade B</t>
  </si>
  <si>
    <t>Grade C</t>
  </si>
  <si>
    <t>Grade D</t>
  </si>
  <si>
    <t>Grade E</t>
  </si>
  <si>
    <t>Grade F</t>
  </si>
  <si>
    <t>Grade G</t>
  </si>
  <si>
    <t xml:space="preserve">  B.  CUMULATIVE DEFAULT RATE BY INTENT COHORT</t>
  </si>
  <si>
    <t>Venture</t>
  </si>
  <si>
    <t>Education</t>
  </si>
  <si>
    <t>Personal</t>
  </si>
  <si>
    <t>Homeimprovement</t>
  </si>
  <si>
    <t>Medical</t>
  </si>
  <si>
    <t>Debtconsolidation</t>
  </si>
  <si>
    <t xml:space="preserve">  VINTAGE METHODOLOGY NOTES</t>
  </si>
  <si>
    <t>12M Seasoning Factor</t>
  </si>
  <si>
    <t xml:space="preserve">  C.  SEASONING CURVE ASSUMPTIONS  (Blue = Editable)</t>
  </si>
  <si>
    <t>24M Seasoning Factor</t>
  </si>
  <si>
    <t>Horizon</t>
  </si>
  <si>
    <t>Factor</t>
  </si>
  <si>
    <t>Rationale</t>
  </si>
  <si>
    <t>36M Seasoning Factor</t>
  </si>
  <si>
    <t>12 Months</t>
  </si>
  <si>
    <t>~40% of lifetime defaults occur in year 1 (early default peak)</t>
  </si>
  <si>
    <t>Grade A – 36M CDR</t>
  </si>
  <si>
    <t>24 Months</t>
  </si>
  <si>
    <t>~70% of lifetime defaults realised by end of year 2</t>
  </si>
  <si>
    <t>Grade D – 36M CDR</t>
  </si>
  <si>
    <t>36 Months</t>
  </si>
  <si>
    <t>100% terminal – observed rate used as lifetime proxy</t>
  </si>
  <si>
    <t>Grade G – 36M CDR</t>
  </si>
  <si>
    <t>Highest-risk intent</t>
  </si>
  <si>
    <t>Debt Consolidation (28.6%)</t>
  </si>
  <si>
    <t>Colour: Green = Low (&lt;15%)  |  Orange = Medium (15-30%)  |  Red = High (30%+)</t>
  </si>
  <si>
    <t>Lowest-risk intent</t>
  </si>
  <si>
    <t>Venture (14.8%)</t>
  </si>
  <si>
    <t>Data limitation</t>
  </si>
  <si>
    <t>No time-series origination dates</t>
  </si>
  <si>
    <t>12M CDR</t>
  </si>
  <si>
    <t>24M CDR</t>
  </si>
  <si>
    <t>36M 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</si>
</sst>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mmmm\ d\,\ yyyy"/>
    <numFmt numFmtId="165" formatCode="&quot;$&quot;#,##0"/>
    <numFmt numFmtId="166" formatCode="&quot;$&quot;#,##0.00"/>
    <numFmt numFmtId="167" formatCode="0.0%"/>
    <numFmt numFmtId="168" formatCode="\+0%;\-0%;0%"/>
    <numFmt numFmtId="169" formatCode="0.00\×"/>
  </numFmts>
  <fonts count="2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1"/>
      <color rgb="FFBDD7EE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sz val="10"/>
      <color rgb="FF595959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i/>
      <sz val="9"/>
      <color rgb="FF595959"/>
      <name val="Arial"/>
    </font>
    <font>
      <b/>
      <sz val="10"/>
      <color rgb="FF375623"/>
      <name val="Arial"/>
    </font>
    <font>
      <b/>
      <sz val="10"/>
      <color rgb="FF9C5700"/>
      <name val="Arial"/>
    </font>
    <font>
      <b/>
      <sz val="10"/>
      <color rgb="FFC00000"/>
      <name val="Arial"/>
    </font>
    <font>
      <b/>
      <sz val="10"/>
      <color rgb="FF0070C0"/>
      <name val="Arial"/>
    </font>
    <font>
      <b/>
      <sz val="11"/>
      <color rgb="FF375623"/>
      <name val="Arial"/>
    </font>
    <font>
      <b/>
      <sz val="9"/>
      <color rgb="FF1F3864"/>
      <name val="Arial"/>
    </font>
    <font>
      <sz val="10"/>
      <color rgb="FF375623"/>
      <name val="Arial"/>
    </font>
    <font>
      <sz val="10"/>
      <color rgb="FF9C5700"/>
      <name val="Arial"/>
    </font>
    <font>
      <sz val="10"/>
      <color rgb="FFC00000"/>
      <name val="Arial"/>
    </font>
    <font>
      <sz val="8"/>
      <name val="Calibri"/>
      <family val="2"/>
      <scheme val="minor"/>
    </font>
    <font>
      <b/>
      <sz val="9"/>
      <color rgb="FF1F3864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F8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6E4F7"/>
      </patternFill>
    </fill>
    <fill>
      <patternFill patternType="solid">
        <fgColor rgb="FFBDD7EE"/>
      </patternFill>
    </fill>
    <fill>
      <patternFill patternType="solid">
        <fgColor rgb="FFF2F7FD"/>
      </patternFill>
    </fill>
    <fill>
      <patternFill patternType="solid">
        <fgColor rgb="FFD9E1F2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4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164" fontId="5" fillId="6" borderId="6" xfId="0" applyNumberFormat="1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3" fontId="5" fillId="5" borderId="6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/>
    </xf>
    <xf numFmtId="3" fontId="9" fillId="5" borderId="1" xfId="0" applyNumberFormat="1" applyFont="1" applyFill="1" applyBorder="1" applyAlignment="1">
      <alignment horizontal="right" vertical="center"/>
    </xf>
    <xf numFmtId="0" fontId="9" fillId="6" borderId="5" xfId="0" applyFont="1" applyFill="1" applyBorder="1" applyAlignment="1">
      <alignment horizontal="left" vertical="center"/>
    </xf>
    <xf numFmtId="165" fontId="9" fillId="6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0" fontId="9" fillId="6" borderId="1" xfId="0" applyNumberFormat="1" applyFont="1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left" vertical="center"/>
    </xf>
    <xf numFmtId="3" fontId="9" fillId="5" borderId="10" xfId="0" applyNumberFormat="1" applyFont="1" applyFill="1" applyBorder="1" applyAlignment="1">
      <alignment horizontal="right" vertical="center"/>
    </xf>
    <xf numFmtId="0" fontId="0" fillId="5" borderId="10" xfId="0" applyFill="1" applyBorder="1"/>
    <xf numFmtId="0" fontId="0" fillId="5" borderId="8" xfId="0" applyFill="1" applyBorder="1"/>
    <xf numFmtId="0" fontId="8" fillId="2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7" fontId="12" fillId="5" borderId="1" xfId="0" applyNumberFormat="1" applyFont="1" applyFill="1" applyBorder="1" applyAlignment="1">
      <alignment horizontal="right" vertical="center"/>
    </xf>
    <xf numFmtId="167" fontId="5" fillId="5" borderId="6" xfId="0" applyNumberFormat="1" applyFont="1" applyFill="1" applyBorder="1" applyAlignment="1">
      <alignment horizontal="right" vertical="center"/>
    </xf>
    <xf numFmtId="0" fontId="9" fillId="6" borderId="5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7" fontId="13" fillId="6" borderId="1" xfId="0" applyNumberFormat="1" applyFont="1" applyFill="1" applyBorder="1" applyAlignment="1">
      <alignment horizontal="right" vertical="center"/>
    </xf>
    <xf numFmtId="167" fontId="5" fillId="6" borderId="6" xfId="0" applyNumberFormat="1" applyFont="1" applyFill="1" applyBorder="1" applyAlignment="1">
      <alignment horizontal="right" vertical="center"/>
    </xf>
    <xf numFmtId="167" fontId="13" fillId="5" borderId="1" xfId="0" applyNumberFormat="1" applyFont="1" applyFill="1" applyBorder="1" applyAlignment="1">
      <alignment horizontal="right" vertical="center"/>
    </xf>
    <xf numFmtId="167" fontId="14" fillId="6" borderId="1" xfId="0" applyNumberFormat="1" applyFont="1" applyFill="1" applyBorder="1" applyAlignment="1">
      <alignment horizontal="right" vertical="center"/>
    </xf>
    <xf numFmtId="167" fontId="14" fillId="5" borderId="1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center" vertical="center"/>
    </xf>
    <xf numFmtId="3" fontId="5" fillId="5" borderId="10" xfId="0" applyNumberFormat="1" applyFont="1" applyFill="1" applyBorder="1" applyAlignment="1">
      <alignment horizontal="right" vertical="center"/>
    </xf>
    <xf numFmtId="165" fontId="5" fillId="5" borderId="10" xfId="0" applyNumberFormat="1" applyFont="1" applyFill="1" applyBorder="1" applyAlignment="1">
      <alignment horizontal="right" vertical="center"/>
    </xf>
    <xf numFmtId="167" fontId="14" fillId="5" borderId="10" xfId="0" applyNumberFormat="1" applyFont="1" applyFill="1" applyBorder="1" applyAlignment="1">
      <alignment horizontal="right" vertical="center"/>
    </xf>
    <xf numFmtId="167" fontId="5" fillId="5" borderId="8" xfId="0" applyNumberFormat="1" applyFont="1" applyFill="1" applyBorder="1" applyAlignment="1">
      <alignment horizontal="right" vertical="center"/>
    </xf>
    <xf numFmtId="0" fontId="5" fillId="5" borderId="5" xfId="0" applyFont="1" applyFill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vertical="center"/>
    </xf>
    <xf numFmtId="167" fontId="5" fillId="6" borderId="1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left" vertical="center"/>
    </xf>
    <xf numFmtId="3" fontId="5" fillId="6" borderId="10" xfId="0" applyNumberFormat="1" applyFont="1" applyFill="1" applyBorder="1" applyAlignment="1">
      <alignment horizontal="right" vertical="center"/>
    </xf>
    <xf numFmtId="165" fontId="5" fillId="6" borderId="10" xfId="0" applyNumberFormat="1" applyFont="1" applyFill="1" applyBorder="1" applyAlignment="1">
      <alignment horizontal="right" vertical="center"/>
    </xf>
    <xf numFmtId="167" fontId="5" fillId="6" borderId="10" xfId="0" applyNumberFormat="1" applyFont="1" applyFill="1" applyBorder="1" applyAlignment="1">
      <alignment horizontal="right" vertical="center"/>
    </xf>
    <xf numFmtId="167" fontId="5" fillId="6" borderId="8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left" vertical="center"/>
    </xf>
    <xf numFmtId="167" fontId="5" fillId="5" borderId="10" xfId="0" applyNumberFormat="1" applyFont="1" applyFill="1" applyBorder="1" applyAlignment="1">
      <alignment horizontal="right" vertical="center"/>
    </xf>
    <xf numFmtId="0" fontId="15" fillId="7" borderId="5" xfId="0" applyFont="1" applyFill="1" applyBorder="1" applyAlignment="1">
      <alignment horizontal="left" vertical="center"/>
    </xf>
    <xf numFmtId="167" fontId="15" fillId="8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9" fillId="7" borderId="5" xfId="0" applyFont="1" applyFill="1" applyBorder="1" applyAlignment="1">
      <alignment horizontal="left" vertical="center"/>
    </xf>
    <xf numFmtId="6" fontId="16" fillId="7" borderId="1" xfId="0" applyNumberFormat="1" applyFont="1" applyFill="1" applyBorder="1" applyAlignment="1">
      <alignment horizontal="right" vertical="center"/>
    </xf>
    <xf numFmtId="10" fontId="12" fillId="5" borderId="10" xfId="0" applyNumberFormat="1" applyFont="1" applyFill="1" applyBorder="1" applyAlignment="1">
      <alignment horizontal="right" vertical="center"/>
    </xf>
    <xf numFmtId="0" fontId="17" fillId="5" borderId="5" xfId="0" applyFont="1" applyFill="1" applyBorder="1" applyAlignment="1">
      <alignment horizontal="left" vertical="center"/>
    </xf>
    <xf numFmtId="167" fontId="10" fillId="5" borderId="6" xfId="0" applyNumberFormat="1" applyFont="1" applyFill="1" applyBorder="1" applyAlignment="1">
      <alignment horizontal="right" vertical="center"/>
    </xf>
    <xf numFmtId="0" fontId="17" fillId="10" borderId="5" xfId="0" applyFont="1" applyFill="1" applyBorder="1" applyAlignment="1">
      <alignment horizontal="left" vertical="center"/>
    </xf>
    <xf numFmtId="167" fontId="10" fillId="10" borderId="6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0" fontId="10" fillId="10" borderId="6" xfId="0" applyFont="1" applyFill="1" applyBorder="1" applyAlignment="1">
      <alignment horizontal="right" vertical="center"/>
    </xf>
    <xf numFmtId="165" fontId="10" fillId="5" borderId="6" xfId="0" applyNumberFormat="1" applyFont="1" applyFill="1" applyBorder="1" applyAlignment="1">
      <alignment horizontal="right" vertical="center"/>
    </xf>
    <xf numFmtId="165" fontId="10" fillId="10" borderId="6" xfId="0" applyNumberFormat="1" applyFont="1" applyFill="1" applyBorder="1" applyAlignment="1">
      <alignment horizontal="right" vertical="center"/>
    </xf>
    <xf numFmtId="10" fontId="10" fillId="5" borderId="6" xfId="0" applyNumberFormat="1" applyFont="1" applyFill="1" applyBorder="1" applyAlignment="1">
      <alignment horizontal="right" vertical="center"/>
    </xf>
    <xf numFmtId="0" fontId="17" fillId="5" borderId="7" xfId="0" applyFont="1" applyFill="1" applyBorder="1" applyAlignment="1">
      <alignment horizontal="left" vertical="center"/>
    </xf>
    <xf numFmtId="3" fontId="10" fillId="5" borderId="8" xfId="0" applyNumberFormat="1" applyFont="1" applyFill="1" applyBorder="1" applyAlignment="1">
      <alignment horizontal="right" vertical="center"/>
    </xf>
    <xf numFmtId="0" fontId="5" fillId="5" borderId="5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165" fontId="5" fillId="5" borderId="6" xfId="0" applyNumberFormat="1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right" vertical="center"/>
    </xf>
    <xf numFmtId="165" fontId="5" fillId="6" borderId="6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center" vertical="center"/>
    </xf>
    <xf numFmtId="166" fontId="5" fillId="6" borderId="10" xfId="0" applyNumberFormat="1" applyFont="1" applyFill="1" applyBorder="1" applyAlignment="1">
      <alignment horizontal="right" vertical="center"/>
    </xf>
    <xf numFmtId="165" fontId="5" fillId="6" borderId="8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6" fontId="5" fillId="5" borderId="6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6" fontId="5" fillId="6" borderId="6" xfId="0" applyNumberFormat="1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right" vertical="center"/>
    </xf>
    <xf numFmtId="166" fontId="5" fillId="6" borderId="8" xfId="0" applyNumberFormat="1" applyFont="1" applyFill="1" applyBorder="1" applyAlignment="1">
      <alignment horizontal="right" vertical="center"/>
    </xf>
    <xf numFmtId="166" fontId="5" fillId="5" borderId="10" xfId="0" applyNumberFormat="1" applyFont="1" applyFill="1" applyBorder="1" applyAlignment="1">
      <alignment horizontal="right" vertical="center"/>
    </xf>
    <xf numFmtId="167" fontId="14" fillId="6" borderId="10" xfId="0" applyNumberFormat="1" applyFont="1" applyFill="1" applyBorder="1" applyAlignment="1">
      <alignment horizontal="right" vertical="center"/>
    </xf>
    <xf numFmtId="3" fontId="10" fillId="5" borderId="6" xfId="0" applyNumberFormat="1" applyFont="1" applyFill="1" applyBorder="1" applyAlignment="1">
      <alignment horizontal="right" vertical="center"/>
    </xf>
    <xf numFmtId="3" fontId="10" fillId="10" borderId="6" xfId="0" applyNumberFormat="1" applyFont="1" applyFill="1" applyBorder="1" applyAlignment="1">
      <alignment horizontal="right" vertical="center"/>
    </xf>
    <xf numFmtId="0" fontId="17" fillId="10" borderId="7" xfId="0" applyFont="1" applyFill="1" applyBorder="1" applyAlignment="1">
      <alignment horizontal="left" vertical="center"/>
    </xf>
    <xf numFmtId="165" fontId="10" fillId="10" borderId="8" xfId="0" applyNumberFormat="1" applyFont="1" applyFill="1" applyBorder="1" applyAlignment="1">
      <alignment horizontal="right" vertical="center"/>
    </xf>
    <xf numFmtId="6" fontId="12" fillId="5" borderId="1" xfId="0" applyNumberFormat="1" applyFont="1" applyFill="1" applyBorder="1" applyAlignment="1">
      <alignment horizontal="right" vertical="center"/>
    </xf>
    <xf numFmtId="10" fontId="5" fillId="5" borderId="6" xfId="0" applyNumberFormat="1" applyFont="1" applyFill="1" applyBorder="1" applyAlignment="1">
      <alignment horizontal="right" vertical="center"/>
    </xf>
    <xf numFmtId="6" fontId="12" fillId="6" borderId="1" xfId="0" applyNumberFormat="1" applyFont="1" applyFill="1" applyBorder="1" applyAlignment="1">
      <alignment horizontal="right" vertical="center"/>
    </xf>
    <xf numFmtId="10" fontId="5" fillId="6" borderId="6" xfId="0" applyNumberFormat="1" applyFont="1" applyFill="1" applyBorder="1" applyAlignment="1">
      <alignment horizontal="right" vertical="center"/>
    </xf>
    <xf numFmtId="0" fontId="9" fillId="11" borderId="7" xfId="0" applyFont="1" applyFill="1" applyBorder="1" applyAlignment="1">
      <alignment horizontal="center" vertical="center"/>
    </xf>
    <xf numFmtId="3" fontId="9" fillId="11" borderId="10" xfId="0" applyNumberFormat="1" applyFont="1" applyFill="1" applyBorder="1" applyAlignment="1">
      <alignment horizontal="right" vertical="center"/>
    </xf>
    <xf numFmtId="165" fontId="9" fillId="11" borderId="10" xfId="0" applyNumberFormat="1" applyFont="1" applyFill="1" applyBorder="1" applyAlignment="1">
      <alignment horizontal="right" vertical="center"/>
    </xf>
    <xf numFmtId="167" fontId="9" fillId="11" borderId="10" xfId="0" applyNumberFormat="1" applyFont="1" applyFill="1" applyBorder="1" applyAlignment="1">
      <alignment horizontal="right" vertical="center"/>
    </xf>
    <xf numFmtId="6" fontId="12" fillId="11" borderId="10" xfId="0" applyNumberFormat="1" applyFont="1" applyFill="1" applyBorder="1" applyAlignment="1">
      <alignment horizontal="right" vertical="center"/>
    </xf>
    <xf numFmtId="10" fontId="9" fillId="11" borderId="8" xfId="0" applyNumberFormat="1" applyFont="1" applyFill="1" applyBorder="1" applyAlignment="1">
      <alignment horizontal="right" vertical="center"/>
    </xf>
    <xf numFmtId="10" fontId="10" fillId="10" borderId="6" xfId="0" applyNumberFormat="1" applyFont="1" applyFill="1" applyBorder="1" applyAlignment="1">
      <alignment horizontal="right" vertical="center"/>
    </xf>
    <xf numFmtId="2" fontId="15" fillId="8" borderId="1" xfId="0" applyNumberFormat="1" applyFont="1" applyFill="1" applyBorder="1" applyAlignment="1">
      <alignment horizontal="center" vertical="center"/>
    </xf>
    <xf numFmtId="2" fontId="15" fillId="8" borderId="6" xfId="0" applyNumberFormat="1" applyFont="1" applyFill="1" applyBorder="1" applyAlignment="1">
      <alignment horizontal="center" vertical="center"/>
    </xf>
    <xf numFmtId="167" fontId="15" fillId="8" borderId="1" xfId="0" applyNumberFormat="1" applyFont="1" applyFill="1" applyBorder="1" applyAlignment="1">
      <alignment horizontal="center" vertical="center"/>
    </xf>
    <xf numFmtId="167" fontId="15" fillId="8" borderId="6" xfId="0" applyNumberFormat="1" applyFont="1" applyFill="1" applyBorder="1" applyAlignment="1">
      <alignment horizontal="center" vertical="center"/>
    </xf>
    <xf numFmtId="168" fontId="15" fillId="8" borderId="10" xfId="0" applyNumberFormat="1" applyFont="1" applyFill="1" applyBorder="1" applyAlignment="1">
      <alignment horizontal="center" vertical="center"/>
    </xf>
    <xf numFmtId="168" fontId="15" fillId="8" borderId="8" xfId="0" applyNumberFormat="1" applyFont="1" applyFill="1" applyBorder="1" applyAlignment="1">
      <alignment horizontal="center" vertical="center"/>
    </xf>
    <xf numFmtId="10" fontId="18" fillId="5" borderId="1" xfId="0" applyNumberFormat="1" applyFont="1" applyFill="1" applyBorder="1" applyAlignment="1">
      <alignment horizontal="right" vertical="center"/>
    </xf>
    <xf numFmtId="10" fontId="18" fillId="5" borderId="6" xfId="0" applyNumberFormat="1" applyFont="1" applyFill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right" vertical="center"/>
    </xf>
    <xf numFmtId="165" fontId="18" fillId="6" borderId="6" xfId="0" applyNumberFormat="1" applyFont="1" applyFill="1" applyBorder="1" applyAlignment="1">
      <alignment horizontal="right" vertical="center"/>
    </xf>
    <xf numFmtId="6" fontId="12" fillId="7" borderId="1" xfId="0" applyNumberFormat="1" applyFont="1" applyFill="1" applyBorder="1" applyAlignment="1">
      <alignment horizontal="right" vertical="center"/>
    </xf>
    <xf numFmtId="6" fontId="12" fillId="7" borderId="6" xfId="0" applyNumberFormat="1" applyFont="1" applyFill="1" applyBorder="1" applyAlignment="1">
      <alignment horizontal="right" vertical="center"/>
    </xf>
    <xf numFmtId="167" fontId="18" fillId="6" borderId="10" xfId="0" applyNumberFormat="1" applyFont="1" applyFill="1" applyBorder="1" applyAlignment="1">
      <alignment horizontal="right" vertical="center"/>
    </xf>
    <xf numFmtId="167" fontId="18" fillId="6" borderId="8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right" vertical="center"/>
    </xf>
    <xf numFmtId="165" fontId="12" fillId="5" borderId="6" xfId="0" applyNumberFormat="1" applyFont="1" applyFill="1" applyBorder="1" applyAlignment="1">
      <alignment horizontal="right" vertical="center"/>
    </xf>
    <xf numFmtId="165" fontId="12" fillId="6" borderId="1" xfId="0" applyNumberFormat="1" applyFont="1" applyFill="1" applyBorder="1" applyAlignment="1">
      <alignment horizontal="right" vertical="center"/>
    </xf>
    <xf numFmtId="165" fontId="12" fillId="6" borderId="6" xfId="0" applyNumberFormat="1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left" vertical="center"/>
    </xf>
    <xf numFmtId="165" fontId="12" fillId="5" borderId="10" xfId="0" applyNumberFormat="1" applyFont="1" applyFill="1" applyBorder="1" applyAlignment="1">
      <alignment horizontal="right" vertical="center"/>
    </xf>
    <xf numFmtId="165" fontId="12" fillId="5" borderId="8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9" fontId="10" fillId="10" borderId="6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169" fontId="10" fillId="5" borderId="6" xfId="0" applyNumberFormat="1" applyFont="1" applyFill="1" applyBorder="1" applyAlignment="1">
      <alignment horizontal="right" vertical="center"/>
    </xf>
    <xf numFmtId="0" fontId="5" fillId="5" borderId="10" xfId="0" applyFont="1" applyFill="1" applyBorder="1" applyAlignment="1">
      <alignment horizontal="center" vertical="center"/>
    </xf>
    <xf numFmtId="165" fontId="10" fillId="5" borderId="8" xfId="0" applyNumberFormat="1" applyFont="1" applyFill="1" applyBorder="1" applyAlignment="1">
      <alignment horizontal="right" vertical="center"/>
    </xf>
    <xf numFmtId="10" fontId="12" fillId="5" borderId="1" xfId="0" applyNumberFormat="1" applyFont="1" applyFill="1" applyBorder="1" applyAlignment="1">
      <alignment horizontal="right" vertical="center"/>
    </xf>
    <xf numFmtId="10" fontId="18" fillId="6" borderId="1" xfId="0" applyNumberFormat="1" applyFont="1" applyFill="1" applyBorder="1" applyAlignment="1">
      <alignment horizontal="right" vertical="center"/>
    </xf>
    <xf numFmtId="10" fontId="13" fillId="6" borderId="1" xfId="0" applyNumberFormat="1" applyFont="1" applyFill="1" applyBorder="1" applyAlignment="1">
      <alignment horizontal="right" vertical="center"/>
    </xf>
    <xf numFmtId="10" fontId="13" fillId="5" borderId="1" xfId="0" applyNumberFormat="1" applyFont="1" applyFill="1" applyBorder="1" applyAlignment="1">
      <alignment horizontal="right" vertical="center"/>
    </xf>
    <xf numFmtId="10" fontId="19" fillId="6" borderId="1" xfId="0" applyNumberFormat="1" applyFont="1" applyFill="1" applyBorder="1" applyAlignment="1">
      <alignment horizontal="right" vertical="center"/>
    </xf>
    <xf numFmtId="10" fontId="20" fillId="6" borderId="1" xfId="0" applyNumberFormat="1" applyFont="1" applyFill="1" applyBorder="1" applyAlignment="1">
      <alignment horizontal="right" vertical="center"/>
    </xf>
    <xf numFmtId="10" fontId="14" fillId="6" borderId="1" xfId="0" applyNumberFormat="1" applyFont="1" applyFill="1" applyBorder="1" applyAlignment="1">
      <alignment horizontal="right" vertical="center"/>
    </xf>
    <xf numFmtId="10" fontId="19" fillId="5" borderId="1" xfId="0" applyNumberFormat="1" applyFont="1" applyFill="1" applyBorder="1" applyAlignment="1">
      <alignment horizontal="right" vertical="center"/>
    </xf>
    <xf numFmtId="10" fontId="20" fillId="5" borderId="1" xfId="0" applyNumberFormat="1" applyFont="1" applyFill="1" applyBorder="1" applyAlignment="1">
      <alignment horizontal="right" vertical="center"/>
    </xf>
    <xf numFmtId="10" fontId="14" fillId="5" borderId="1" xfId="0" applyNumberFormat="1" applyFont="1" applyFill="1" applyBorder="1" applyAlignment="1">
      <alignment horizontal="right" vertical="center"/>
    </xf>
    <xf numFmtId="10" fontId="19" fillId="5" borderId="10" xfId="0" applyNumberFormat="1" applyFont="1" applyFill="1" applyBorder="1" applyAlignment="1">
      <alignment horizontal="right" vertical="center"/>
    </xf>
    <xf numFmtId="10" fontId="20" fillId="5" borderId="10" xfId="0" applyNumberFormat="1" applyFont="1" applyFill="1" applyBorder="1" applyAlignment="1">
      <alignment horizontal="right" vertical="center"/>
    </xf>
    <xf numFmtId="10" fontId="14" fillId="5" borderId="10" xfId="0" applyNumberFormat="1" applyFont="1" applyFill="1" applyBorder="1" applyAlignment="1">
      <alignment horizontal="right" vertical="center"/>
    </xf>
    <xf numFmtId="166" fontId="5" fillId="5" borderId="8" xfId="0" applyNumberFormat="1" applyFont="1" applyFill="1" applyBorder="1" applyAlignment="1">
      <alignment horizontal="right" vertical="center"/>
    </xf>
    <xf numFmtId="10" fontId="12" fillId="6" borderId="1" xfId="0" applyNumberFormat="1" applyFont="1" applyFill="1" applyBorder="1" applyAlignment="1">
      <alignment horizontal="right" vertical="center"/>
    </xf>
    <xf numFmtId="10" fontId="18" fillId="5" borderId="10" xfId="0" applyNumberFormat="1" applyFont="1" applyFill="1" applyBorder="1" applyAlignment="1">
      <alignment horizontal="right" vertical="center"/>
    </xf>
    <xf numFmtId="10" fontId="13" fillId="5" borderId="10" xfId="0" applyNumberFormat="1" applyFont="1" applyFill="1" applyBorder="1" applyAlignment="1">
      <alignment horizontal="right" vertical="center"/>
    </xf>
    <xf numFmtId="167" fontId="9" fillId="5" borderId="10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 vertical="center"/>
    </xf>
    <xf numFmtId="0" fontId="22" fillId="5" borderId="5" xfId="0" applyFont="1" applyFill="1" applyBorder="1" applyAlignment="1">
      <alignment horizontal="left" vertical="center"/>
    </xf>
    <xf numFmtId="167" fontId="10" fillId="5" borderId="6" xfId="0" applyNumberFormat="1" applyFont="1" applyFill="1" applyBorder="1" applyAlignment="1">
      <alignment horizontal="right" vertical="center" wrapText="1"/>
    </xf>
    <xf numFmtId="167" fontId="10" fillId="10" borderId="6" xfId="0" applyNumberFormat="1" applyFont="1" applyFill="1" applyBorder="1" applyAlignment="1">
      <alignment horizontal="right" vertical="center" wrapText="1"/>
    </xf>
    <xf numFmtId="0" fontId="10" fillId="5" borderId="6" xfId="0" applyFont="1" applyFill="1" applyBorder="1" applyAlignment="1">
      <alignment horizontal="right" vertical="center" wrapText="1"/>
    </xf>
    <xf numFmtId="0" fontId="10" fillId="10" borderId="6" xfId="0" applyFont="1" applyFill="1" applyBorder="1" applyAlignment="1">
      <alignment horizontal="right" vertical="center" wrapText="1"/>
    </xf>
    <xf numFmtId="10" fontId="10" fillId="5" borderId="6" xfId="0" applyNumberFormat="1" applyFont="1" applyFill="1" applyBorder="1" applyAlignment="1">
      <alignment horizontal="right" vertical="center" wrapText="1"/>
    </xf>
    <xf numFmtId="10" fontId="10" fillId="10" borderId="6" xfId="0" applyNumberFormat="1" applyFont="1" applyFill="1" applyBorder="1" applyAlignment="1">
      <alignment horizontal="right" vertical="center" wrapText="1"/>
    </xf>
    <xf numFmtId="165" fontId="10" fillId="5" borderId="6" xfId="0" applyNumberFormat="1" applyFont="1" applyFill="1" applyBorder="1" applyAlignment="1">
      <alignment horizontal="right" vertical="center" wrapText="1"/>
    </xf>
    <xf numFmtId="10" fontId="10" fillId="10" borderId="8" xfId="0" applyNumberFormat="1" applyFont="1" applyFill="1" applyBorder="1" applyAlignment="1">
      <alignment horizontal="right" vertical="center" wrapText="1"/>
    </xf>
    <xf numFmtId="0" fontId="23" fillId="0" borderId="0" xfId="0" applyFont="1"/>
    <xf numFmtId="0" fontId="25" fillId="0" borderId="0" xfId="0" applyFont="1"/>
    <xf numFmtId="0" fontId="0" fillId="0" borderId="11" xfId="0" applyBorder="1"/>
    <xf numFmtId="0" fontId="24" fillId="0" borderId="0" xfId="0" applyFont="1" applyAlignment="1">
      <alignment horizontal="center" vertical="center" wrapText="1"/>
    </xf>
    <xf numFmtId="6" fontId="24" fillId="0" borderId="0" xfId="0" applyNumberFormat="1" applyFont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0" fillId="2" borderId="9" xfId="0" applyFill="1" applyBorder="1"/>
    <xf numFmtId="0" fontId="0" fillId="2" borderId="4" xfId="0" applyFill="1" applyBorder="1"/>
    <xf numFmtId="0" fontId="4" fillId="9" borderId="3" xfId="0" applyFont="1" applyFill="1" applyBorder="1" applyAlignment="1">
      <alignment horizontal="left" vertical="center"/>
    </xf>
    <xf numFmtId="0" fontId="0" fillId="9" borderId="4" xfId="0" applyFill="1" applyBorder="1"/>
    <xf numFmtId="0" fontId="11" fillId="0" borderId="5" xfId="0" applyFont="1" applyBorder="1"/>
    <xf numFmtId="0" fontId="0" fillId="0" borderId="1" xfId="0" applyBorder="1"/>
    <xf numFmtId="0" fontId="0" fillId="0" borderId="6" xfId="0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0" fillId="4" borderId="1" xfId="0" applyFill="1" applyBorder="1"/>
    <xf numFmtId="0" fontId="0" fillId="0" borderId="2" xfId="0" applyBorder="1"/>
    <xf numFmtId="0" fontId="0" fillId="9" borderId="4" xfId="0" applyFill="1" applyBorder="1" applyAlignment="1">
      <alignment horizontal="left"/>
    </xf>
    <xf numFmtId="0" fontId="0" fillId="5" borderId="1" xfId="0" applyFill="1" applyBorder="1"/>
    <xf numFmtId="0" fontId="0" fillId="5" borderId="6" xfId="0" applyFill="1" applyBorder="1"/>
    <xf numFmtId="0" fontId="1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6" borderId="6" xfId="0" applyFill="1" applyBorder="1"/>
    <xf numFmtId="0" fontId="0" fillId="7" borderId="1" xfId="0" applyFill="1" applyBorder="1"/>
    <xf numFmtId="0" fontId="0" fillId="7" borderId="6" xfId="0" applyFill="1" applyBorder="1"/>
    <xf numFmtId="0" fontId="11" fillId="7" borderId="1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0" fillId="5" borderId="10" xfId="0" applyFill="1" applyBorder="1"/>
    <xf numFmtId="0" fontId="0" fillId="5" borderId="8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0" fillId="2" borderId="6" xfId="0" applyFill="1" applyBorder="1"/>
    <xf numFmtId="0" fontId="1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Default Rate by Loan Grade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Default Rate</c:v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cat>
            <c:strRef>
              <c:f>'Portfolio Summary'!$A$13:$A$19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'Portfolio Summary'!$D$13:$D$19</c:f>
              <c:numCache>
                <c:formatCode>0.0%</c:formatCode>
                <c:ptCount val="7"/>
                <c:pt idx="0">
                  <c:v>9.9563886053632741E-2</c:v>
                </c:pt>
                <c:pt idx="1">
                  <c:v>0.16275954454119221</c:v>
                </c:pt>
                <c:pt idx="2">
                  <c:v>0.207339733663673</c:v>
                </c:pt>
                <c:pt idx="3">
                  <c:v>0.59045780474351905</c:v>
                </c:pt>
                <c:pt idx="4">
                  <c:v>0.64419087136929465</c:v>
                </c:pt>
                <c:pt idx="5">
                  <c:v>0.70539419087136934</c:v>
                </c:pt>
                <c:pt idx="6">
                  <c:v>0.984375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59-F446-9DD7-BC9528DF0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Default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Default Rate by Home Ownership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'Portfolio Summary'!$A$23:$A$26</c:f>
              <c:strCache>
                <c:ptCount val="4"/>
                <c:pt idx="0">
                  <c:v>OWN</c:v>
                </c:pt>
                <c:pt idx="1">
                  <c:v>MORTGAGE</c:v>
                </c:pt>
                <c:pt idx="2">
                  <c:v>OTHER</c:v>
                </c:pt>
                <c:pt idx="3">
                  <c:v>RENT</c:v>
                </c:pt>
              </c:strCache>
            </c:strRef>
          </c:cat>
          <c:val>
            <c:numRef>
              <c:f>'Portfolio Summary'!$D$23:$D$26</c:f>
              <c:numCache>
                <c:formatCode>0.0%</c:formatCode>
                <c:ptCount val="4"/>
                <c:pt idx="0">
                  <c:v>7.4690402476780188E-2</c:v>
                </c:pt>
                <c:pt idx="1">
                  <c:v>0.1257066349300803</c:v>
                </c:pt>
                <c:pt idx="2">
                  <c:v>0.30841121495327101</c:v>
                </c:pt>
                <c:pt idx="3">
                  <c:v>0.31569986622887031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69-634C-A92A-6B36A938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Default Rate by Loan Intent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375623"/>
            </a:solidFill>
            <a:ln>
              <a:solidFill>
                <a:srgbClr val="375623"/>
              </a:solidFill>
              <a:prstDash val="solid"/>
            </a:ln>
          </c:spPr>
          <c:invertIfNegative val="1"/>
          <c:cat>
            <c:strRef>
              <c:f>'Portfolio Summary'!$A$30:$A$35</c:f>
              <c:strCache>
                <c:ptCount val="6"/>
                <c:pt idx="0">
                  <c:v>VENTURE</c:v>
                </c:pt>
                <c:pt idx="1">
                  <c:v>EDUCATION</c:v>
                </c:pt>
                <c:pt idx="2">
                  <c:v>PERSONAL</c:v>
                </c:pt>
                <c:pt idx="3">
                  <c:v>HOMEIMPROVEMENT</c:v>
                </c:pt>
                <c:pt idx="4">
                  <c:v>MEDICAL</c:v>
                </c:pt>
                <c:pt idx="5">
                  <c:v>DEBTCONSOLIDATION</c:v>
                </c:pt>
              </c:strCache>
            </c:strRef>
          </c:cat>
          <c:val>
            <c:numRef>
              <c:f>'Portfolio Summary'!$D$30:$D$35</c:f>
              <c:numCache>
                <c:formatCode>0.0%</c:formatCode>
                <c:ptCount val="6"/>
                <c:pt idx="0">
                  <c:v>0.14810281517747859</c:v>
                </c:pt>
                <c:pt idx="1">
                  <c:v>0.17216798388346499</c:v>
                </c:pt>
                <c:pt idx="2">
                  <c:v>0.19887701503350841</c:v>
                </c:pt>
                <c:pt idx="3">
                  <c:v>0.26102635228848819</c:v>
                </c:pt>
                <c:pt idx="4">
                  <c:v>0.26700708285290731</c:v>
                </c:pt>
                <c:pt idx="5">
                  <c:v>0.28587874136607833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7562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5E-1143-820C-5B5A5FA0C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Default Rate by Age Bucket</a:t>
            </a:r>
          </a:p>
        </c:rich>
      </c:tx>
      <c:layout>
        <c:manualLayout>
          <c:xMode val="edge"/>
          <c:yMode val="edge"/>
          <c:x val="0.33215337301587305"/>
          <c:y val="7.055555555555555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cat>
            <c:strRef>
              <c:f>'Borrower Profile'!$A$3:$A$8</c:f>
              <c:strCache>
                <c:ptCount val="6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55–64</c:v>
                </c:pt>
                <c:pt idx="5">
                  <c:v>65+</c:v>
                </c:pt>
              </c:strCache>
            </c:strRef>
          </c:cat>
          <c:val>
            <c:numRef>
              <c:f>'Borrower Profile'!$D$3:$D$8</c:f>
              <c:numCache>
                <c:formatCode>0.0%</c:formatCode>
                <c:ptCount val="6"/>
                <c:pt idx="0">
                  <c:v>0.23223710921640281</c:v>
                </c:pt>
                <c:pt idx="1">
                  <c:v>0.2097033374536465</c:v>
                </c:pt>
                <c:pt idx="2">
                  <c:v>0.2056524353577871</c:v>
                </c:pt>
                <c:pt idx="3">
                  <c:v>0.2196339434276206</c:v>
                </c:pt>
                <c:pt idx="4">
                  <c:v>0.26956521739130429</c:v>
                </c:pt>
                <c:pt idx="5">
                  <c:v>0.20512820512820509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C4-AB41-9941-A1AE88F0C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Default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Default Rate by Income Quartile</a:t>
            </a:r>
          </a:p>
        </c:rich>
      </c:tx>
      <c:layout>
        <c:manualLayout>
          <c:xMode val="edge"/>
          <c:yMode val="edge"/>
          <c:x val="0.32132420634920633"/>
          <c:y val="5.644444444444444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'Borrower Profile'!$A$12:$A$15</c:f>
              <c:strCache>
                <c:ptCount val="4"/>
                <c:pt idx="0">
                  <c:v>Q1 (Lowest)</c:v>
                </c:pt>
                <c:pt idx="1">
                  <c:v>Q2</c:v>
                </c:pt>
                <c:pt idx="2">
                  <c:v>Q3</c:v>
                </c:pt>
                <c:pt idx="3">
                  <c:v>Q4 (Highest)</c:v>
                </c:pt>
              </c:strCache>
            </c:strRef>
          </c:cat>
          <c:val>
            <c:numRef>
              <c:f>'Borrower Profile'!$D$12:$D$15</c:f>
              <c:numCache>
                <c:formatCode>0.0%</c:formatCode>
                <c:ptCount val="4"/>
                <c:pt idx="0">
                  <c:v>0.39695780176643769</c:v>
                </c:pt>
                <c:pt idx="1">
                  <c:v>0.21321832098165469</c:v>
                </c:pt>
                <c:pt idx="2">
                  <c:v>0.17070142768466789</c:v>
                </c:pt>
                <c:pt idx="3">
                  <c:v>9.1121208399852632E-2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37-B44B-91C2-091ADAC53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Default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Expected Loss by Loan Grade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strRef>
              <c:f>'Risk Distribution'!$A$3:$A$9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'Risk Distribution'!$E$3:$E$9</c:f>
              <c:numCache>
                <c:formatCode>"$"#,##0_);[Red]\("$"#,##0\)</c:formatCode>
                <c:ptCount val="7"/>
                <c:pt idx="0">
                  <c:v>4123188.1866474911</c:v>
                </c:pt>
                <c:pt idx="1">
                  <c:v>7651042.9872739445</c:v>
                </c:pt>
                <c:pt idx="2">
                  <c:v>5551812.9403453087</c:v>
                </c:pt>
                <c:pt idx="3">
                  <c:v>10452701.80846663</c:v>
                </c:pt>
                <c:pt idx="4">
                  <c:v>3609333.0070020752</c:v>
                </c:pt>
                <c:pt idx="5">
                  <c:v>1125875.2593361</c:v>
                </c:pt>
                <c:pt idx="6">
                  <c:v>487498.18359375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D7-F342-A5A7-23FE64344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Expected Loss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Exposure Concentration by Risk Tier</a:t>
            </a:r>
          </a:p>
        </c:rich>
      </c:tx>
      <c:layout>
        <c:manualLayout>
          <c:xMode val="edge"/>
          <c:yMode val="edge"/>
          <c:x val="0.30924166666666669"/>
          <c:y val="0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'Risk Distribution'!$A$14:$A$16</c:f>
              <c:strCache>
                <c:ptCount val="3"/>
                <c:pt idx="0">
                  <c:v>Prime</c:v>
                </c:pt>
                <c:pt idx="1">
                  <c:v>Near-Prime</c:v>
                </c:pt>
                <c:pt idx="2">
                  <c:v>Subprime</c:v>
                </c:pt>
              </c:strCache>
            </c:strRef>
          </c:cat>
          <c:val>
            <c:numRef>
              <c:f>'Risk Distribution'!$D$14:$D$16</c:f>
              <c:numCache>
                <c:formatCode>"$"#,##0</c:formatCode>
                <c:ptCount val="3"/>
                <c:pt idx="0">
                  <c:v>196490550</c:v>
                </c:pt>
                <c:pt idx="1">
                  <c:v>98842475</c:v>
                </c:pt>
                <c:pt idx="2">
                  <c:v>17098275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5-7F40-B80F-11F87C9A1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Expected Loss Across Stress Scenarios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4688958009331258E-2"/>
          <c:y val="6.5830721003134793E-2"/>
          <c:w val="0.95062208398133752"/>
          <c:h val="0.8996865203761755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75623"/>
            </a:solidFill>
            <a:ln>
              <a:solidFill>
                <a:srgbClr val="375623"/>
              </a:solidFill>
              <a:prstDash val="solid"/>
            </a:ln>
          </c:spPr>
          <c:invertIfNegative val="1"/>
          <c:cat>
            <c:strRef>
              <c:f>'Stress Testing'!$A$29:$C$29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</c:v>
                </c:pt>
              </c:strCache>
            </c:strRef>
          </c:cat>
          <c:val>
            <c:numRef>
              <c:f>'Stress Testing'!$A$30</c:f>
              <c:numCache>
                <c:formatCode>"$"#,##0_);[Red]\("$"#,##0\)</c:formatCode>
                <c:ptCount val="1"/>
                <c:pt idx="0">
                  <c:v>30672562.419201382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7562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70-E445-88B8-50E3B02FA40A}"/>
            </c:ext>
          </c:extLst>
        </c:ser>
        <c:ser>
          <c:idx val="1"/>
          <c:order val="1"/>
          <c:spPr>
            <a:solidFill>
              <a:srgbClr val="F4B942"/>
            </a:solidFill>
            <a:ln>
              <a:solidFill>
                <a:srgbClr val="F4B942"/>
              </a:solidFill>
              <a:prstDash val="solid"/>
            </a:ln>
          </c:spPr>
          <c:invertIfNegative val="1"/>
          <c:cat>
            <c:strRef>
              <c:f>'Stress Testing'!$A$29:$C$29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</c:v>
                </c:pt>
              </c:strCache>
            </c:strRef>
          </c:cat>
          <c:val>
            <c:numRef>
              <c:f>'Stress Testing'!$B$30</c:f>
              <c:numCache>
                <c:formatCode>"$"#,##0_);[Red]\("$"#,##0\)</c:formatCode>
                <c:ptCount val="1"/>
                <c:pt idx="0">
                  <c:v>72165723.247398809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4B94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70-E445-88B8-50E3B02FA40A}"/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strRef>
              <c:f>'Stress Testing'!$A$29:$C$29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</c:v>
                </c:pt>
              </c:strCache>
            </c:strRef>
          </c:cat>
          <c:val>
            <c:numRef>
              <c:f>'Stress Testing'!$C$30</c:f>
              <c:numCache>
                <c:formatCode>"$"#,##0_);[Red]\("$"#,##0\)</c:formatCode>
                <c:ptCount val="1"/>
                <c:pt idx="0">
                  <c:v>138452538.69778401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470-E445-88B8-50E3B02F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Expected Loss ($)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Estimated Cumulative Default Rate by Grade Cohort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274236037934668E-2"/>
          <c:y val="8.2066869300911852E-2"/>
          <c:w val="0.94772457850368808"/>
          <c:h val="0.85106382978723405"/>
        </c:manualLayout>
      </c:layout>
      <c:lineChart>
        <c:grouping val="standard"/>
        <c:varyColors val="1"/>
        <c:ser>
          <c:idx val="0"/>
          <c:order val="0"/>
          <c:tx>
            <c:v>12M CDR</c:v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'Vintage Analysis'!$A$34:$A$40</c:f>
              <c:strCache>
                <c:ptCount val="7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E</c:v>
                </c:pt>
                <c:pt idx="5">
                  <c:v>Grade F</c:v>
                </c:pt>
                <c:pt idx="6">
                  <c:v>Grade G</c:v>
                </c:pt>
              </c:strCache>
            </c:strRef>
          </c:cat>
          <c:val>
            <c:numRef>
              <c:f>'Vintage Analysis'!$B$33:$B$40</c:f>
              <c:numCache>
                <c:formatCode>General</c:formatCode>
                <c:ptCount val="8"/>
                <c:pt idx="0">
                  <c:v>0</c:v>
                </c:pt>
                <c:pt idx="1">
                  <c:v>3.9825554421453101E-2</c:v>
                </c:pt>
                <c:pt idx="2">
                  <c:v>6.5103817816476894E-2</c:v>
                </c:pt>
                <c:pt idx="3">
                  <c:v>8.2935893465469201E-2</c:v>
                </c:pt>
                <c:pt idx="4">
                  <c:v>0.23618312189740759</c:v>
                </c:pt>
                <c:pt idx="5">
                  <c:v>0.25767634854771793</c:v>
                </c:pt>
                <c:pt idx="6">
                  <c:v>0.28215767634854783</c:v>
                </c:pt>
                <c:pt idx="7">
                  <c:v>0.39374999999999999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56-1F47-90F2-1349851F8AF8}"/>
            </c:ext>
          </c:extLst>
        </c:ser>
        <c:ser>
          <c:idx val="1"/>
          <c:order val="1"/>
          <c:tx>
            <c:v>24M CDR</c:v>
          </c:tx>
          <c:spPr>
            <a:ln w="20000">
              <a:solidFill>
                <a:srgbClr val="F4B942"/>
              </a:solidFill>
              <a:prstDash val="solid"/>
            </a:ln>
          </c:spPr>
          <c:marker>
            <c:symbol val="none"/>
          </c:marker>
          <c:cat>
            <c:strRef>
              <c:f>'Vintage Analysis'!$A$34:$A$40</c:f>
              <c:strCache>
                <c:ptCount val="7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E</c:v>
                </c:pt>
                <c:pt idx="5">
                  <c:v>Grade F</c:v>
                </c:pt>
                <c:pt idx="6">
                  <c:v>Grade G</c:v>
                </c:pt>
              </c:strCache>
            </c:strRef>
          </c:cat>
          <c:val>
            <c:numRef>
              <c:f>'Vintage Analysis'!$C$33:$C$40</c:f>
              <c:numCache>
                <c:formatCode>General</c:formatCode>
                <c:ptCount val="8"/>
                <c:pt idx="0">
                  <c:v>0</c:v>
                </c:pt>
                <c:pt idx="1">
                  <c:v>6.9694720237542918E-2</c:v>
                </c:pt>
                <c:pt idx="2">
                  <c:v>0.11393168117883461</c:v>
                </c:pt>
                <c:pt idx="3">
                  <c:v>0.14513781356457109</c:v>
                </c:pt>
                <c:pt idx="4">
                  <c:v>0.41332046332046329</c:v>
                </c:pt>
                <c:pt idx="5">
                  <c:v>0.45093360995850618</c:v>
                </c:pt>
                <c:pt idx="6">
                  <c:v>0.49377593360995847</c:v>
                </c:pt>
                <c:pt idx="7">
                  <c:v>0.68906249999999991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56-1F47-90F2-1349851F8AF8}"/>
            </c:ext>
          </c:extLst>
        </c:ser>
        <c:ser>
          <c:idx val="2"/>
          <c:order val="2"/>
          <c:tx>
            <c:v>36M CDR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'Vintage Analysis'!$A$34:$A$40</c:f>
              <c:strCache>
                <c:ptCount val="7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E</c:v>
                </c:pt>
                <c:pt idx="5">
                  <c:v>Grade F</c:v>
                </c:pt>
                <c:pt idx="6">
                  <c:v>Grade G</c:v>
                </c:pt>
              </c:strCache>
            </c:strRef>
          </c:cat>
          <c:val>
            <c:numRef>
              <c:f>'Vintage Analysis'!$D$33:$D$40</c:f>
              <c:numCache>
                <c:formatCode>General</c:formatCode>
                <c:ptCount val="8"/>
                <c:pt idx="0">
                  <c:v>0</c:v>
                </c:pt>
                <c:pt idx="1">
                  <c:v>9.9563886053632741E-2</c:v>
                </c:pt>
                <c:pt idx="2">
                  <c:v>0.16275954454119221</c:v>
                </c:pt>
                <c:pt idx="3">
                  <c:v>0.207339733663673</c:v>
                </c:pt>
                <c:pt idx="4">
                  <c:v>0.59045780474351905</c:v>
                </c:pt>
                <c:pt idx="5">
                  <c:v>0.64419087136929465</c:v>
                </c:pt>
                <c:pt idx="6">
                  <c:v>0.70539419087136934</c:v>
                </c:pt>
                <c:pt idx="7">
                  <c:v>0.984375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56-1F47-90F2-1349851F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Loan 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Cumulative Default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504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203200</xdr:colOff>
      <xdr:row>17</xdr:row>
      <xdr:rowOff>25400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38100</xdr:colOff>
      <xdr:row>17</xdr:row>
      <xdr:rowOff>50800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101600</xdr:colOff>
      <xdr:row>0</xdr:row>
      <xdr:rowOff>25400</xdr:rowOff>
    </xdr:from>
    <xdr:ext cx="5658400" cy="4051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406400</xdr:colOff>
      <xdr:row>0</xdr:row>
      <xdr:rowOff>0</xdr:rowOff>
    </xdr:from>
    <xdr:ext cx="6073600" cy="417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workbookViewId="0">
      <selection sqref="A1:B1"/>
    </sheetView>
  </sheetViews>
  <sheetFormatPr baseColWidth="10" defaultColWidth="8.83203125" defaultRowHeight="15" x14ac:dyDescent="0.2"/>
  <cols>
    <col min="1" max="1" width="28" customWidth="1"/>
    <col min="2" max="2" width="48" customWidth="1"/>
  </cols>
  <sheetData>
    <row r="1" spans="1:2" ht="42" customHeight="1" x14ac:dyDescent="0.2">
      <c r="A1" s="178" t="s">
        <v>0</v>
      </c>
      <c r="B1" s="179"/>
    </row>
    <row r="2" spans="1:2" ht="24" customHeight="1" x14ac:dyDescent="0.2">
      <c r="A2" s="176" t="s">
        <v>1</v>
      </c>
      <c r="B2" s="177"/>
    </row>
    <row r="3" spans="1:2" ht="5" customHeight="1" x14ac:dyDescent="0.2">
      <c r="A3" s="182"/>
      <c r="B3" s="183"/>
    </row>
    <row r="4" spans="1:2" ht="8" customHeight="1" x14ac:dyDescent="0.2"/>
    <row r="5" spans="1:2" ht="22" customHeight="1" x14ac:dyDescent="0.2">
      <c r="A5" s="168" t="s">
        <v>2</v>
      </c>
      <c r="B5" s="170"/>
    </row>
    <row r="6" spans="1:2" ht="18" customHeight="1" x14ac:dyDescent="0.2">
      <c r="A6" s="1" t="s">
        <v>3</v>
      </c>
      <c r="B6" s="2" t="s">
        <v>4</v>
      </c>
    </row>
    <row r="7" spans="1:2" ht="18" customHeight="1" x14ac:dyDescent="0.2">
      <c r="A7" s="3" t="s">
        <v>5</v>
      </c>
      <c r="B7" s="4">
        <v>46126</v>
      </c>
    </row>
    <row r="8" spans="1:2" ht="18" customHeight="1" x14ac:dyDescent="0.2">
      <c r="A8" s="1" t="s">
        <v>6</v>
      </c>
      <c r="B8" s="2" t="s">
        <v>7</v>
      </c>
    </row>
    <row r="9" spans="1:2" ht="18" customHeight="1" x14ac:dyDescent="0.2">
      <c r="A9" s="3" t="s">
        <v>8</v>
      </c>
      <c r="B9" s="5" t="s">
        <v>9</v>
      </c>
    </row>
    <row r="10" spans="1:2" ht="18" customHeight="1" x14ac:dyDescent="0.2">
      <c r="A10" s="1" t="s">
        <v>10</v>
      </c>
      <c r="B10" s="6">
        <v>32581</v>
      </c>
    </row>
    <row r="11" spans="1:2" ht="18" customHeight="1" x14ac:dyDescent="0.2">
      <c r="A11" s="3" t="s">
        <v>11</v>
      </c>
      <c r="B11" s="5" t="s">
        <v>12</v>
      </c>
    </row>
    <row r="12" spans="1:2" ht="18" customHeight="1" x14ac:dyDescent="0.2">
      <c r="A12" s="7" t="s">
        <v>13</v>
      </c>
      <c r="B12" s="8" t="s">
        <v>14</v>
      </c>
    </row>
    <row r="14" spans="1:2" ht="8" customHeight="1" x14ac:dyDescent="0.2"/>
    <row r="15" spans="1:2" ht="22" customHeight="1" x14ac:dyDescent="0.2">
      <c r="A15" s="168" t="s">
        <v>15</v>
      </c>
      <c r="B15" s="170"/>
    </row>
    <row r="16" spans="1:2" ht="18" customHeight="1" x14ac:dyDescent="0.2">
      <c r="A16" s="1" t="s">
        <v>16</v>
      </c>
      <c r="B16" s="9" t="s">
        <v>17</v>
      </c>
    </row>
    <row r="17" spans="1:2" ht="18" customHeight="1" x14ac:dyDescent="0.2">
      <c r="A17" s="3" t="s">
        <v>18</v>
      </c>
      <c r="B17" s="10" t="s">
        <v>19</v>
      </c>
    </row>
    <row r="18" spans="1:2" ht="18" customHeight="1" x14ac:dyDescent="0.2">
      <c r="A18" s="1" t="s">
        <v>20</v>
      </c>
      <c r="B18" s="9" t="s">
        <v>21</v>
      </c>
    </row>
    <row r="19" spans="1:2" ht="18" customHeight="1" x14ac:dyDescent="0.2">
      <c r="A19" s="3" t="s">
        <v>22</v>
      </c>
      <c r="B19" s="10" t="s">
        <v>23</v>
      </c>
    </row>
    <row r="20" spans="1:2" ht="18" customHeight="1" x14ac:dyDescent="0.2">
      <c r="A20" s="1" t="s">
        <v>24</v>
      </c>
      <c r="B20" s="9" t="s">
        <v>25</v>
      </c>
    </row>
    <row r="21" spans="1:2" ht="18" customHeight="1" x14ac:dyDescent="0.2">
      <c r="A21" s="11" t="s">
        <v>26</v>
      </c>
      <c r="B21" s="12" t="s">
        <v>27</v>
      </c>
    </row>
    <row r="23" spans="1:2" ht="14" customHeight="1" x14ac:dyDescent="0.2">
      <c r="A23" s="180" t="s">
        <v>28</v>
      </c>
      <c r="B23" s="181"/>
    </row>
  </sheetData>
  <mergeCells count="6">
    <mergeCell ref="A2:B2"/>
    <mergeCell ref="A15:B15"/>
    <mergeCell ref="A5:B5"/>
    <mergeCell ref="A1:B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showGridLines="0" tabSelected="1" topLeftCell="A39" workbookViewId="0">
      <selection activeCell="E57" sqref="E57"/>
    </sheetView>
  </sheetViews>
  <sheetFormatPr baseColWidth="10" defaultColWidth="8.83203125" defaultRowHeight="15" x14ac:dyDescent="0.2"/>
  <cols>
    <col min="1" max="1" width="30" customWidth="1"/>
    <col min="2" max="3" width="22" customWidth="1"/>
    <col min="4" max="5" width="20" customWidth="1"/>
    <col min="6" max="6" width="3" customWidth="1"/>
    <col min="7" max="7" width="28" customWidth="1"/>
    <col min="8" max="8" width="14" customWidth="1"/>
    <col min="9" max="9" width="3" customWidth="1"/>
    <col min="13" max="13" width="26.5" customWidth="1"/>
    <col min="14" max="14" width="33" customWidth="1"/>
  </cols>
  <sheetData>
    <row r="1" spans="1:5" ht="20" customHeight="1" x14ac:dyDescent="0.2">
      <c r="A1" s="168" t="s">
        <v>29</v>
      </c>
      <c r="B1" s="169"/>
      <c r="C1" s="169"/>
      <c r="D1" s="169"/>
      <c r="E1" s="170"/>
    </row>
    <row r="2" spans="1:5" ht="28" customHeight="1" x14ac:dyDescent="0.2">
      <c r="A2" s="13" t="s">
        <v>30</v>
      </c>
      <c r="B2" s="14" t="s">
        <v>31</v>
      </c>
      <c r="C2" s="196" t="s">
        <v>32</v>
      </c>
      <c r="D2" s="174"/>
      <c r="E2" s="175"/>
    </row>
    <row r="3" spans="1:5" x14ac:dyDescent="0.2">
      <c r="A3" s="15" t="s">
        <v>33</v>
      </c>
      <c r="B3" s="16">
        <v>32581</v>
      </c>
      <c r="C3" s="197" t="s">
        <v>34</v>
      </c>
      <c r="D3" s="185"/>
      <c r="E3" s="186"/>
    </row>
    <row r="4" spans="1:5" x14ac:dyDescent="0.2">
      <c r="A4" s="17" t="s">
        <v>35</v>
      </c>
      <c r="B4" s="18">
        <v>312431300</v>
      </c>
      <c r="C4" s="187" t="s">
        <v>36</v>
      </c>
      <c r="D4" s="188"/>
      <c r="E4" s="189"/>
    </row>
    <row r="5" spans="1:5" x14ac:dyDescent="0.2">
      <c r="A5" s="15" t="s">
        <v>37</v>
      </c>
      <c r="B5" s="19">
        <v>9589.3711058592435</v>
      </c>
      <c r="C5" s="197" t="s">
        <v>38</v>
      </c>
      <c r="D5" s="185"/>
      <c r="E5" s="186"/>
    </row>
    <row r="6" spans="1:5" x14ac:dyDescent="0.2">
      <c r="A6" s="17" t="s">
        <v>39</v>
      </c>
      <c r="B6" s="20">
        <v>0.2181639605905282</v>
      </c>
      <c r="C6" s="187" t="s">
        <v>40</v>
      </c>
      <c r="D6" s="188"/>
      <c r="E6" s="189"/>
    </row>
    <row r="7" spans="1:5" x14ac:dyDescent="0.2">
      <c r="A7" s="15" t="s">
        <v>41</v>
      </c>
      <c r="B7" s="16">
        <v>7108</v>
      </c>
      <c r="C7" s="197" t="s">
        <v>42</v>
      </c>
      <c r="D7" s="185"/>
      <c r="E7" s="186"/>
    </row>
    <row r="8" spans="1:5" x14ac:dyDescent="0.2">
      <c r="A8" s="17" t="s">
        <v>43</v>
      </c>
      <c r="B8" s="21">
        <v>895</v>
      </c>
      <c r="C8" s="187" t="s">
        <v>44</v>
      </c>
      <c r="D8" s="188"/>
      <c r="E8" s="189"/>
    </row>
    <row r="9" spans="1:5" ht="16" thickBot="1" x14ac:dyDescent="0.25">
      <c r="A9" s="22" t="s">
        <v>45</v>
      </c>
      <c r="B9" s="23">
        <v>3116</v>
      </c>
      <c r="C9" s="193" t="s">
        <v>46</v>
      </c>
      <c r="D9" s="194"/>
      <c r="E9" s="195"/>
    </row>
    <row r="10" spans="1:5" ht="16" thickBot="1" x14ac:dyDescent="0.25"/>
    <row r="11" spans="1:5" ht="20" customHeight="1" x14ac:dyDescent="0.2">
      <c r="A11" s="168" t="s">
        <v>47</v>
      </c>
      <c r="B11" s="169"/>
      <c r="C11" s="169"/>
      <c r="D11" s="169"/>
      <c r="E11" s="170"/>
    </row>
    <row r="12" spans="1:5" ht="28" customHeight="1" x14ac:dyDescent="0.2">
      <c r="A12" s="13" t="s">
        <v>48</v>
      </c>
      <c r="B12" s="14" t="s">
        <v>49</v>
      </c>
      <c r="C12" s="14" t="s">
        <v>50</v>
      </c>
      <c r="D12" s="14" t="s">
        <v>51</v>
      </c>
      <c r="E12" s="26" t="s">
        <v>52</v>
      </c>
    </row>
    <row r="13" spans="1:5" x14ac:dyDescent="0.2">
      <c r="A13" s="27" t="s">
        <v>53</v>
      </c>
      <c r="B13" s="28">
        <v>10777</v>
      </c>
      <c r="C13" s="29">
        <v>92027750</v>
      </c>
      <c r="D13" s="30">
        <v>9.9563886053632741E-2</v>
      </c>
      <c r="E13" s="31">
        <v>7.327650910579088E-2</v>
      </c>
    </row>
    <row r="14" spans="1:5" x14ac:dyDescent="0.2">
      <c r="A14" s="32" t="s">
        <v>54</v>
      </c>
      <c r="B14" s="33">
        <v>10451</v>
      </c>
      <c r="C14" s="34">
        <v>104462800</v>
      </c>
      <c r="D14" s="35">
        <v>0.16275954454119221</v>
      </c>
      <c r="E14" s="36">
        <v>0.10995555082490691</v>
      </c>
    </row>
    <row r="15" spans="1:5" x14ac:dyDescent="0.2">
      <c r="A15" s="27" t="s">
        <v>55</v>
      </c>
      <c r="B15" s="28">
        <v>6458</v>
      </c>
      <c r="C15" s="29">
        <v>59503125</v>
      </c>
      <c r="D15" s="37">
        <v>0.207339733663673</v>
      </c>
      <c r="E15" s="31">
        <v>0.1346354152367879</v>
      </c>
    </row>
    <row r="16" spans="1:5" x14ac:dyDescent="0.2">
      <c r="A16" s="32" t="s">
        <v>56</v>
      </c>
      <c r="B16" s="33">
        <v>3626</v>
      </c>
      <c r="C16" s="34">
        <v>39339350</v>
      </c>
      <c r="D16" s="38">
        <v>0.59045780474351905</v>
      </c>
      <c r="E16" s="36">
        <v>0.15361448400724201</v>
      </c>
    </row>
    <row r="17" spans="1:5" x14ac:dyDescent="0.2">
      <c r="A17" s="27" t="s">
        <v>57</v>
      </c>
      <c r="B17" s="28">
        <v>964</v>
      </c>
      <c r="C17" s="29">
        <v>12450875</v>
      </c>
      <c r="D17" s="39">
        <v>0.64419087136929465</v>
      </c>
      <c r="E17" s="31">
        <v>0.17009455164585699</v>
      </c>
    </row>
    <row r="18" spans="1:5" x14ac:dyDescent="0.2">
      <c r="A18" s="32" t="s">
        <v>58</v>
      </c>
      <c r="B18" s="33">
        <v>241</v>
      </c>
      <c r="C18" s="34">
        <v>3546875</v>
      </c>
      <c r="D18" s="38">
        <v>0.70539419087136934</v>
      </c>
      <c r="E18" s="36">
        <v>0.1860915887850467</v>
      </c>
    </row>
    <row r="19" spans="1:5" x14ac:dyDescent="0.2">
      <c r="A19" s="40" t="s">
        <v>59</v>
      </c>
      <c r="B19" s="41">
        <v>64</v>
      </c>
      <c r="C19" s="42">
        <v>1100525</v>
      </c>
      <c r="D19" s="43">
        <v>0.984375</v>
      </c>
      <c r="E19" s="44">
        <v>0.20251525423728811</v>
      </c>
    </row>
    <row r="21" spans="1:5" ht="20" customHeight="1" x14ac:dyDescent="0.2">
      <c r="A21" s="168" t="s">
        <v>60</v>
      </c>
      <c r="B21" s="169"/>
      <c r="C21" s="169"/>
      <c r="D21" s="169"/>
      <c r="E21" s="170"/>
    </row>
    <row r="22" spans="1:5" ht="28" customHeight="1" x14ac:dyDescent="0.2">
      <c r="A22" s="13" t="s">
        <v>61</v>
      </c>
      <c r="B22" s="14" t="s">
        <v>49</v>
      </c>
      <c r="C22" s="14" t="s">
        <v>50</v>
      </c>
      <c r="D22" s="14" t="s">
        <v>51</v>
      </c>
      <c r="E22" s="26" t="s">
        <v>62</v>
      </c>
    </row>
    <row r="23" spans="1:5" x14ac:dyDescent="0.2">
      <c r="A23" s="45" t="s">
        <v>63</v>
      </c>
      <c r="B23" s="28">
        <v>2584</v>
      </c>
      <c r="C23" s="29">
        <v>23333375</v>
      </c>
      <c r="D23" s="46">
        <v>7.4690402476780188E-2</v>
      </c>
      <c r="E23" s="31">
        <v>7.9310027316534179E-2</v>
      </c>
    </row>
    <row r="24" spans="1:5" x14ac:dyDescent="0.2">
      <c r="A24" s="45" t="s">
        <v>64</v>
      </c>
      <c r="B24" s="28">
        <v>13444</v>
      </c>
      <c r="C24" s="29">
        <v>142163050</v>
      </c>
      <c r="D24" s="46">
        <v>0.1257066349300803</v>
      </c>
      <c r="E24" s="31">
        <v>0.412633129738191</v>
      </c>
    </row>
    <row r="25" spans="1:5" x14ac:dyDescent="0.2">
      <c r="A25" s="47" t="s">
        <v>65</v>
      </c>
      <c r="B25" s="33">
        <v>107</v>
      </c>
      <c r="C25" s="34">
        <v>1184975</v>
      </c>
      <c r="D25" s="48">
        <v>0.30841121495327101</v>
      </c>
      <c r="E25" s="36">
        <v>3.284122648169178E-3</v>
      </c>
    </row>
    <row r="26" spans="1:5" x14ac:dyDescent="0.2">
      <c r="A26" s="49" t="s">
        <v>66</v>
      </c>
      <c r="B26" s="50">
        <v>16446</v>
      </c>
      <c r="C26" s="51">
        <v>145749900</v>
      </c>
      <c r="D26" s="52">
        <v>0.31569986622887031</v>
      </c>
      <c r="E26" s="53">
        <v>0.50477272029710563</v>
      </c>
    </row>
    <row r="27" spans="1:5" ht="16" thickBot="1" x14ac:dyDescent="0.25"/>
    <row r="28" spans="1:5" ht="20" customHeight="1" x14ac:dyDescent="0.2">
      <c r="A28" s="168" t="s">
        <v>67</v>
      </c>
      <c r="B28" s="169"/>
      <c r="C28" s="169"/>
      <c r="D28" s="169"/>
      <c r="E28" s="170"/>
    </row>
    <row r="29" spans="1:5" ht="28" customHeight="1" x14ac:dyDescent="0.2">
      <c r="A29" s="13" t="s">
        <v>68</v>
      </c>
      <c r="B29" s="14" t="s">
        <v>49</v>
      </c>
      <c r="C29" s="14" t="s">
        <v>50</v>
      </c>
      <c r="D29" s="14" t="s">
        <v>51</v>
      </c>
      <c r="E29" s="26" t="s">
        <v>62</v>
      </c>
    </row>
    <row r="30" spans="1:5" x14ac:dyDescent="0.2">
      <c r="A30" s="47" t="s">
        <v>69</v>
      </c>
      <c r="B30" s="33">
        <v>5719</v>
      </c>
      <c r="C30" s="34">
        <v>54809625</v>
      </c>
      <c r="D30" s="48">
        <v>0.14810281517747859</v>
      </c>
      <c r="E30" s="36">
        <v>0.17553175163438811</v>
      </c>
    </row>
    <row r="31" spans="1:5" x14ac:dyDescent="0.2">
      <c r="A31" s="47" t="s">
        <v>70</v>
      </c>
      <c r="B31" s="33">
        <v>6453</v>
      </c>
      <c r="C31" s="34">
        <v>61191725</v>
      </c>
      <c r="D31" s="48">
        <v>0.17216798388346499</v>
      </c>
      <c r="E31" s="36">
        <v>0.19806021914612809</v>
      </c>
    </row>
    <row r="32" spans="1:5" x14ac:dyDescent="0.2">
      <c r="A32" s="45" t="s">
        <v>71</v>
      </c>
      <c r="B32" s="28">
        <v>5521</v>
      </c>
      <c r="C32" s="29">
        <v>52856800</v>
      </c>
      <c r="D32" s="46">
        <v>0.19887701503350841</v>
      </c>
      <c r="E32" s="31">
        <v>0.16945459009852371</v>
      </c>
    </row>
    <row r="33" spans="1:5" x14ac:dyDescent="0.2">
      <c r="A33" s="45" t="s">
        <v>72</v>
      </c>
      <c r="B33" s="28">
        <v>3605</v>
      </c>
      <c r="C33" s="29">
        <v>37349675</v>
      </c>
      <c r="D33" s="46">
        <v>0.26102635228848819</v>
      </c>
      <c r="E33" s="31">
        <v>0.1106473097817747</v>
      </c>
    </row>
    <row r="34" spans="1:5" x14ac:dyDescent="0.2">
      <c r="A34" s="47" t="s">
        <v>73</v>
      </c>
      <c r="B34" s="33">
        <v>6071</v>
      </c>
      <c r="C34" s="34">
        <v>56214925</v>
      </c>
      <c r="D34" s="48">
        <v>0.26700708285290731</v>
      </c>
      <c r="E34" s="36">
        <v>0.18633559436481381</v>
      </c>
    </row>
    <row r="35" spans="1:5" ht="16" thickBot="1" x14ac:dyDescent="0.25">
      <c r="A35" s="54" t="s">
        <v>74</v>
      </c>
      <c r="B35" s="41">
        <v>5212</v>
      </c>
      <c r="C35" s="42">
        <v>50008550</v>
      </c>
      <c r="D35" s="55">
        <v>0.28587874136607833</v>
      </c>
      <c r="E35" s="44">
        <v>0.15997053497437161</v>
      </c>
    </row>
    <row r="36" spans="1:5" ht="16" thickBot="1" x14ac:dyDescent="0.25"/>
    <row r="37" spans="1:5" ht="20" customHeight="1" x14ac:dyDescent="0.2">
      <c r="A37" s="168" t="s">
        <v>75</v>
      </c>
      <c r="B37" s="169"/>
      <c r="C37" s="169"/>
      <c r="D37" s="169"/>
      <c r="E37" s="170"/>
    </row>
    <row r="38" spans="1:5" ht="28" customHeight="1" x14ac:dyDescent="0.2">
      <c r="A38" s="13" t="s">
        <v>76</v>
      </c>
      <c r="B38" s="14" t="s">
        <v>49</v>
      </c>
      <c r="C38" s="14" t="s">
        <v>50</v>
      </c>
      <c r="D38" s="14" t="s">
        <v>52</v>
      </c>
      <c r="E38" s="26" t="s">
        <v>51</v>
      </c>
    </row>
    <row r="39" spans="1:5" x14ac:dyDescent="0.2">
      <c r="A39" s="17" t="s">
        <v>77</v>
      </c>
      <c r="B39" s="33">
        <v>21228</v>
      </c>
      <c r="C39" s="34">
        <v>196490550</v>
      </c>
      <c r="D39" s="48">
        <v>9.1253430017215309E-2</v>
      </c>
      <c r="E39" s="36">
        <v>0.13067646504616551</v>
      </c>
    </row>
    <row r="40" spans="1:5" x14ac:dyDescent="0.2">
      <c r="A40" s="15" t="s">
        <v>78</v>
      </c>
      <c r="B40" s="28">
        <v>10084</v>
      </c>
      <c r="C40" s="29">
        <v>98842475</v>
      </c>
      <c r="D40" s="46">
        <v>0.14151537956683441</v>
      </c>
      <c r="E40" s="31">
        <v>0.34510115033716782</v>
      </c>
    </row>
    <row r="41" spans="1:5" x14ac:dyDescent="0.2">
      <c r="A41" s="22" t="s">
        <v>79</v>
      </c>
      <c r="B41" s="41">
        <v>1269</v>
      </c>
      <c r="C41" s="42">
        <v>17098275</v>
      </c>
      <c r="D41" s="55">
        <v>0.1747186308492201</v>
      </c>
      <c r="E41" s="44">
        <v>0.67297084318360911</v>
      </c>
    </row>
    <row r="43" spans="1:5" ht="20" customHeight="1" x14ac:dyDescent="0.2">
      <c r="A43" s="168" t="s">
        <v>80</v>
      </c>
      <c r="B43" s="169"/>
      <c r="C43" s="169"/>
      <c r="D43" s="169"/>
      <c r="E43" s="170"/>
    </row>
    <row r="44" spans="1:5" x14ac:dyDescent="0.2">
      <c r="A44" s="56" t="s">
        <v>81</v>
      </c>
      <c r="B44" s="57">
        <v>0.45</v>
      </c>
      <c r="C44" s="192" t="s">
        <v>82</v>
      </c>
      <c r="D44" s="190"/>
      <c r="E44" s="191"/>
    </row>
    <row r="45" spans="1:5" x14ac:dyDescent="0.2">
      <c r="A45" s="45" t="s">
        <v>83</v>
      </c>
      <c r="B45" s="58">
        <v>312431300</v>
      </c>
      <c r="C45" s="174"/>
      <c r="D45" s="185"/>
      <c r="E45" s="186"/>
    </row>
    <row r="46" spans="1:5" x14ac:dyDescent="0.2">
      <c r="A46" s="47" t="s">
        <v>84</v>
      </c>
      <c r="B46" s="20">
        <v>0.2181639605905282</v>
      </c>
      <c r="C46" s="174"/>
      <c r="D46" s="188"/>
      <c r="E46" s="189"/>
    </row>
    <row r="47" spans="1:5" x14ac:dyDescent="0.2">
      <c r="A47" s="59" t="s">
        <v>85</v>
      </c>
      <c r="B47" s="60">
        <f>B46*B44*B45</f>
        <v>30672562.419201374</v>
      </c>
      <c r="C47" s="174"/>
      <c r="D47" s="190"/>
      <c r="E47" s="191"/>
    </row>
    <row r="48" spans="1:5" x14ac:dyDescent="0.2">
      <c r="A48" s="54" t="s">
        <v>86</v>
      </c>
      <c r="B48" s="61">
        <f>B46*B44</f>
        <v>9.8173782265737697E-2</v>
      </c>
      <c r="C48" s="24"/>
      <c r="D48" s="24"/>
      <c r="E48" s="25"/>
    </row>
    <row r="50" spans="1:5" ht="16" thickBot="1" x14ac:dyDescent="0.25">
      <c r="A50" s="163"/>
      <c r="B50" s="163"/>
      <c r="C50" s="163"/>
      <c r="D50" s="163"/>
      <c r="E50" s="163"/>
    </row>
    <row r="51" spans="1:5" x14ac:dyDescent="0.2">
      <c r="A51" s="171" t="s">
        <v>87</v>
      </c>
      <c r="B51" s="184"/>
      <c r="C51" s="163"/>
      <c r="D51" s="163"/>
      <c r="E51" s="163"/>
    </row>
    <row r="52" spans="1:5" x14ac:dyDescent="0.2">
      <c r="A52" s="62" t="s">
        <v>88</v>
      </c>
      <c r="B52" s="63">
        <v>0.45</v>
      </c>
      <c r="C52" s="163"/>
      <c r="D52" s="163"/>
      <c r="E52" s="163"/>
    </row>
    <row r="53" spans="1:5" x14ac:dyDescent="0.2">
      <c r="A53" s="64" t="s">
        <v>89</v>
      </c>
      <c r="B53" s="65">
        <v>0.08</v>
      </c>
      <c r="C53" s="163"/>
      <c r="D53" s="163"/>
      <c r="E53" s="163"/>
    </row>
    <row r="54" spans="1:5" ht="22" customHeight="1" x14ac:dyDescent="0.2">
      <c r="A54" s="62" t="s">
        <v>90</v>
      </c>
      <c r="B54" s="66" t="s">
        <v>91</v>
      </c>
      <c r="C54" s="163"/>
      <c r="D54" s="163"/>
      <c r="E54" s="163"/>
    </row>
    <row r="55" spans="1:5" ht="17" customHeight="1" x14ac:dyDescent="0.2">
      <c r="A55" s="64" t="s">
        <v>92</v>
      </c>
      <c r="B55" s="67" t="s">
        <v>93</v>
      </c>
      <c r="C55" s="163"/>
      <c r="D55" s="163"/>
      <c r="E55" s="163"/>
    </row>
    <row r="56" spans="1:5" ht="17" customHeight="1" x14ac:dyDescent="0.2">
      <c r="A56" s="62" t="s">
        <v>94</v>
      </c>
      <c r="B56" s="63">
        <v>0.4</v>
      </c>
      <c r="C56" s="163"/>
      <c r="D56" s="163"/>
      <c r="E56" s="163"/>
    </row>
    <row r="57" spans="1:5" ht="17" customHeight="1" x14ac:dyDescent="0.2">
      <c r="A57" s="64" t="s">
        <v>95</v>
      </c>
      <c r="B57" s="65">
        <v>0.7</v>
      </c>
      <c r="C57" s="163"/>
      <c r="D57" s="163"/>
      <c r="E57" s="163"/>
    </row>
    <row r="58" spans="1:5" ht="17" customHeight="1" x14ac:dyDescent="0.2">
      <c r="A58" s="62" t="s">
        <v>96</v>
      </c>
      <c r="B58" s="68">
        <v>312431300</v>
      </c>
      <c r="C58" s="163"/>
      <c r="D58" s="163"/>
      <c r="E58" s="163"/>
    </row>
    <row r="59" spans="1:5" ht="17" customHeight="1" x14ac:dyDescent="0.2">
      <c r="A59" s="64" t="s">
        <v>97</v>
      </c>
      <c r="B59" s="69">
        <v>30672562.419201382</v>
      </c>
    </row>
    <row r="60" spans="1:5" ht="17" customHeight="1" x14ac:dyDescent="0.2">
      <c r="A60" s="62" t="s">
        <v>98</v>
      </c>
      <c r="B60" s="70">
        <v>9.8173782265737711E-2</v>
      </c>
    </row>
    <row r="61" spans="1:5" ht="17" customHeight="1" x14ac:dyDescent="0.2">
      <c r="A61" s="64" t="s">
        <v>99</v>
      </c>
      <c r="B61" s="67" t="s">
        <v>9</v>
      </c>
    </row>
    <row r="62" spans="1:5" ht="17" customHeight="1" thickBot="1" x14ac:dyDescent="0.25">
      <c r="A62" s="71" t="s">
        <v>10</v>
      </c>
      <c r="B62" s="72">
        <v>32581</v>
      </c>
    </row>
    <row r="63" spans="1:5" ht="17" customHeight="1" x14ac:dyDescent="0.2"/>
    <row r="64" spans="1:5" ht="17" customHeight="1" x14ac:dyDescent="0.2"/>
    <row r="65" ht="17" customHeight="1" x14ac:dyDescent="0.2"/>
  </sheetData>
  <mergeCells count="19">
    <mergeCell ref="A1:E1"/>
    <mergeCell ref="C46:E46"/>
    <mergeCell ref="C2:E2"/>
    <mergeCell ref="C8:E8"/>
    <mergeCell ref="A37:E37"/>
    <mergeCell ref="C7:E7"/>
    <mergeCell ref="A21:E21"/>
    <mergeCell ref="C3:E3"/>
    <mergeCell ref="C6:E6"/>
    <mergeCell ref="A43:E43"/>
    <mergeCell ref="C5:E5"/>
    <mergeCell ref="A51:B51"/>
    <mergeCell ref="C45:E45"/>
    <mergeCell ref="A28:E28"/>
    <mergeCell ref="C4:E4"/>
    <mergeCell ref="C47:E47"/>
    <mergeCell ref="C44:E44"/>
    <mergeCell ref="C9:E9"/>
    <mergeCell ref="A11:E11"/>
  </mergeCells>
  <pageMargins left="0.75" right="0.75" top="1" bottom="1" header="0.5" footer="0.5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showGridLines="0" topLeftCell="A10" workbookViewId="0">
      <selection activeCell="A30" sqref="A30:B38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4" width="22" customWidth="1"/>
    <col min="5" max="5" width="24" customWidth="1"/>
    <col min="6" max="6" width="3" customWidth="1"/>
    <col min="7" max="7" width="28" customWidth="1"/>
    <col min="8" max="8" width="14" customWidth="1"/>
    <col min="13" max="13" width="16.33203125" customWidth="1"/>
    <col min="14" max="14" width="20.83203125" customWidth="1"/>
  </cols>
  <sheetData>
    <row r="1" spans="1:5" ht="20" customHeight="1" x14ac:dyDescent="0.2">
      <c r="A1" s="168" t="s">
        <v>100</v>
      </c>
      <c r="B1" s="169"/>
      <c r="C1" s="169"/>
      <c r="D1" s="169"/>
      <c r="E1" s="170"/>
    </row>
    <row r="2" spans="1:5" ht="28" customHeight="1" x14ac:dyDescent="0.2">
      <c r="A2" s="13" t="s">
        <v>101</v>
      </c>
      <c r="B2" s="14" t="s">
        <v>49</v>
      </c>
      <c r="C2" s="14" t="s">
        <v>102</v>
      </c>
      <c r="D2" s="14" t="s">
        <v>51</v>
      </c>
      <c r="E2" s="26" t="s">
        <v>103</v>
      </c>
    </row>
    <row r="3" spans="1:5" x14ac:dyDescent="0.2">
      <c r="A3" s="73" t="s">
        <v>104</v>
      </c>
      <c r="B3" s="28">
        <v>12315</v>
      </c>
      <c r="C3" s="74">
        <v>9068.7738530247661</v>
      </c>
      <c r="D3" s="46">
        <v>0.23223710921640281</v>
      </c>
      <c r="E3" s="75">
        <v>57367.601948842872</v>
      </c>
    </row>
    <row r="4" spans="1:5" x14ac:dyDescent="0.2">
      <c r="A4" s="76" t="s">
        <v>105</v>
      </c>
      <c r="B4" s="33">
        <v>16180</v>
      </c>
      <c r="C4" s="77">
        <v>9892.2682323856607</v>
      </c>
      <c r="D4" s="48">
        <v>0.2097033374536465</v>
      </c>
      <c r="E4" s="78">
        <v>69311.065265760204</v>
      </c>
    </row>
    <row r="5" spans="1:5" x14ac:dyDescent="0.2">
      <c r="A5" s="73" t="s">
        <v>106</v>
      </c>
      <c r="B5" s="28">
        <v>3326</v>
      </c>
      <c r="C5" s="74">
        <v>9941.2657847263981</v>
      </c>
      <c r="D5" s="46">
        <v>0.2056524353577871</v>
      </c>
      <c r="E5" s="75">
        <v>76833.082681900181</v>
      </c>
    </row>
    <row r="6" spans="1:5" x14ac:dyDescent="0.2">
      <c r="A6" s="76" t="s">
        <v>107</v>
      </c>
      <c r="B6" s="33">
        <v>601</v>
      </c>
      <c r="C6" s="77">
        <v>9960.0249584026624</v>
      </c>
      <c r="D6" s="48">
        <v>0.2196339434276206</v>
      </c>
      <c r="E6" s="78">
        <v>76939.261231281198</v>
      </c>
    </row>
    <row r="7" spans="1:5" x14ac:dyDescent="0.2">
      <c r="A7" s="73" t="s">
        <v>108</v>
      </c>
      <c r="B7" s="28">
        <v>115</v>
      </c>
      <c r="C7" s="74">
        <v>9763.6956521739139</v>
      </c>
      <c r="D7" s="46">
        <v>0.26956521739130429</v>
      </c>
      <c r="E7" s="75">
        <v>119530.6</v>
      </c>
    </row>
    <row r="8" spans="1:5" ht="16" thickBot="1" x14ac:dyDescent="0.25">
      <c r="A8" s="79" t="s">
        <v>109</v>
      </c>
      <c r="B8" s="50">
        <v>39</v>
      </c>
      <c r="C8" s="80">
        <v>11866.66666666667</v>
      </c>
      <c r="D8" s="52">
        <v>0.20512820512820509</v>
      </c>
      <c r="E8" s="81">
        <v>69441.846153846156</v>
      </c>
    </row>
    <row r="9" spans="1:5" ht="16" thickBot="1" x14ac:dyDescent="0.25"/>
    <row r="10" spans="1:5" ht="20" customHeight="1" x14ac:dyDescent="0.2">
      <c r="A10" s="168" t="s">
        <v>110</v>
      </c>
      <c r="B10" s="169"/>
      <c r="C10" s="169"/>
      <c r="D10" s="169"/>
      <c r="E10" s="170"/>
    </row>
    <row r="11" spans="1:5" ht="28" customHeight="1" x14ac:dyDescent="0.2">
      <c r="A11" s="13" t="s">
        <v>111</v>
      </c>
      <c r="B11" s="14" t="s">
        <v>49</v>
      </c>
      <c r="C11" s="14" t="s">
        <v>112</v>
      </c>
      <c r="D11" s="14" t="s">
        <v>51</v>
      </c>
      <c r="E11" s="26" t="s">
        <v>102</v>
      </c>
    </row>
    <row r="12" spans="1:5" x14ac:dyDescent="0.2">
      <c r="A12" s="45" t="s">
        <v>113</v>
      </c>
      <c r="B12" s="28">
        <v>8152</v>
      </c>
      <c r="C12" s="82" t="s">
        <v>114</v>
      </c>
      <c r="D12" s="46">
        <v>0.39695780176643769</v>
      </c>
      <c r="E12" s="83">
        <v>6308.2341756624137</v>
      </c>
    </row>
    <row r="13" spans="1:5" x14ac:dyDescent="0.2">
      <c r="A13" s="47" t="s">
        <v>115</v>
      </c>
      <c r="B13" s="33">
        <v>8231</v>
      </c>
      <c r="C13" s="84" t="s">
        <v>116</v>
      </c>
      <c r="D13" s="48">
        <v>0.21321832098165469</v>
      </c>
      <c r="E13" s="85">
        <v>8499.6142631515013</v>
      </c>
    </row>
    <row r="14" spans="1:5" x14ac:dyDescent="0.2">
      <c r="A14" s="45" t="s">
        <v>117</v>
      </c>
      <c r="B14" s="28">
        <v>8055</v>
      </c>
      <c r="C14" s="82" t="s">
        <v>118</v>
      </c>
      <c r="D14" s="46">
        <v>0.17070142768466789</v>
      </c>
      <c r="E14" s="83">
        <v>10453.438857852259</v>
      </c>
    </row>
    <row r="15" spans="1:5" ht="16" thickBot="1" x14ac:dyDescent="0.25">
      <c r="A15" s="49" t="s">
        <v>119</v>
      </c>
      <c r="B15" s="50">
        <v>8143</v>
      </c>
      <c r="C15" s="86" t="s">
        <v>120</v>
      </c>
      <c r="D15" s="52">
        <v>9.1121208399852632E-2</v>
      </c>
      <c r="E15" s="87">
        <v>13120.93822915387</v>
      </c>
    </row>
    <row r="16" spans="1:5" ht="16" thickBot="1" x14ac:dyDescent="0.25"/>
    <row r="17" spans="1:5" ht="20" customHeight="1" x14ac:dyDescent="0.2">
      <c r="A17" s="168" t="s">
        <v>121</v>
      </c>
      <c r="B17" s="169"/>
      <c r="C17" s="169"/>
      <c r="D17" s="169"/>
      <c r="E17" s="170"/>
    </row>
    <row r="18" spans="1:5" ht="28" customHeight="1" x14ac:dyDescent="0.2">
      <c r="A18" s="13" t="s">
        <v>122</v>
      </c>
      <c r="B18" s="14" t="s">
        <v>49</v>
      </c>
      <c r="C18" s="14" t="s">
        <v>102</v>
      </c>
      <c r="D18" s="14" t="s">
        <v>51</v>
      </c>
      <c r="E18" s="26" t="s">
        <v>52</v>
      </c>
    </row>
    <row r="19" spans="1:5" x14ac:dyDescent="0.2">
      <c r="A19" s="45" t="s">
        <v>123</v>
      </c>
      <c r="B19" s="28">
        <v>4105</v>
      </c>
      <c r="C19" s="74">
        <v>8554.3605359317899</v>
      </c>
      <c r="D19" s="46">
        <v>0.27941534713763699</v>
      </c>
      <c r="E19" s="31">
        <v>0.1121661812297735</v>
      </c>
    </row>
    <row r="20" spans="1:5" x14ac:dyDescent="0.2">
      <c r="A20" s="47" t="s">
        <v>124</v>
      </c>
      <c r="B20" s="33">
        <v>6764</v>
      </c>
      <c r="C20" s="77">
        <v>9124.0131578947367</v>
      </c>
      <c r="D20" s="48">
        <v>0.26507983441750438</v>
      </c>
      <c r="E20" s="36">
        <v>0.11334110911172909</v>
      </c>
    </row>
    <row r="21" spans="1:5" x14ac:dyDescent="0.2">
      <c r="A21" s="45" t="s">
        <v>125</v>
      </c>
      <c r="B21" s="28">
        <v>6330</v>
      </c>
      <c r="C21" s="74">
        <v>9499.7511848341237</v>
      </c>
      <c r="D21" s="46">
        <v>0.20631911532385469</v>
      </c>
      <c r="E21" s="31">
        <v>0.1113438464235624</v>
      </c>
    </row>
    <row r="22" spans="1:5" x14ac:dyDescent="0.2">
      <c r="A22" s="47" t="s">
        <v>126</v>
      </c>
      <c r="B22" s="33">
        <v>10862</v>
      </c>
      <c r="C22" s="77">
        <v>10065.464463266429</v>
      </c>
      <c r="D22" s="48">
        <v>0.18274719204566381</v>
      </c>
      <c r="E22" s="36">
        <v>0.1083830098567219</v>
      </c>
    </row>
    <row r="23" spans="1:5" ht="16" thickBot="1" x14ac:dyDescent="0.25">
      <c r="A23" s="54" t="s">
        <v>127</v>
      </c>
      <c r="B23" s="41">
        <v>3623</v>
      </c>
      <c r="C23" s="88">
        <v>10979.6232404085</v>
      </c>
      <c r="D23" s="55">
        <v>0.16395252553132761</v>
      </c>
      <c r="E23" s="44">
        <v>0.1073096330275229</v>
      </c>
    </row>
    <row r="24" spans="1:5" ht="16" thickBot="1" x14ac:dyDescent="0.25"/>
    <row r="25" spans="1:5" ht="20" customHeight="1" x14ac:dyDescent="0.2">
      <c r="A25" s="168" t="s">
        <v>128</v>
      </c>
      <c r="B25" s="169"/>
      <c r="C25" s="169"/>
      <c r="D25" s="169"/>
      <c r="E25" s="170"/>
    </row>
    <row r="26" spans="1:5" ht="28" customHeight="1" x14ac:dyDescent="0.2">
      <c r="A26" s="13" t="s">
        <v>129</v>
      </c>
      <c r="B26" s="14" t="s">
        <v>49</v>
      </c>
      <c r="C26" s="14" t="s">
        <v>50</v>
      </c>
      <c r="D26" s="14" t="s">
        <v>51</v>
      </c>
      <c r="E26" s="26" t="s">
        <v>102</v>
      </c>
    </row>
    <row r="27" spans="1:5" x14ac:dyDescent="0.2">
      <c r="A27" s="45" t="s">
        <v>130</v>
      </c>
      <c r="B27" s="28">
        <v>26836</v>
      </c>
      <c r="C27" s="29">
        <v>254272600</v>
      </c>
      <c r="D27" s="30">
        <v>0.18393203159934421</v>
      </c>
      <c r="E27" s="83">
        <v>9475.055895066329</v>
      </c>
    </row>
    <row r="28" spans="1:5" x14ac:dyDescent="0.2">
      <c r="A28" s="49" t="s">
        <v>131</v>
      </c>
      <c r="B28" s="50">
        <v>5745</v>
      </c>
      <c r="C28" s="51">
        <v>58158700</v>
      </c>
      <c r="D28" s="89">
        <v>0.37806788511749351</v>
      </c>
      <c r="E28" s="87">
        <v>10123.359442993909</v>
      </c>
    </row>
    <row r="29" spans="1:5" ht="16" thickBot="1" x14ac:dyDescent="0.25"/>
    <row r="30" spans="1:5" x14ac:dyDescent="0.2">
      <c r="A30" s="171" t="s">
        <v>132</v>
      </c>
      <c r="B30" s="172"/>
    </row>
    <row r="31" spans="1:5" x14ac:dyDescent="0.2">
      <c r="A31" s="62" t="s">
        <v>133</v>
      </c>
      <c r="B31" s="66" t="s">
        <v>134</v>
      </c>
    </row>
    <row r="32" spans="1:5" x14ac:dyDescent="0.2">
      <c r="A32" s="64" t="s">
        <v>135</v>
      </c>
      <c r="B32" s="67" t="s">
        <v>136</v>
      </c>
    </row>
    <row r="33" spans="1:2" x14ac:dyDescent="0.2">
      <c r="A33" s="62" t="s">
        <v>137</v>
      </c>
      <c r="B33" s="66" t="s">
        <v>138</v>
      </c>
    </row>
    <row r="34" spans="1:2" x14ac:dyDescent="0.2">
      <c r="A34" s="64" t="s">
        <v>139</v>
      </c>
      <c r="B34" s="67" t="s">
        <v>140</v>
      </c>
    </row>
    <row r="35" spans="1:2" x14ac:dyDescent="0.2">
      <c r="A35" s="62" t="s">
        <v>141</v>
      </c>
      <c r="B35" s="90">
        <v>20</v>
      </c>
    </row>
    <row r="36" spans="1:2" x14ac:dyDescent="0.2">
      <c r="A36" s="64" t="s">
        <v>142</v>
      </c>
      <c r="B36" s="91">
        <v>144</v>
      </c>
    </row>
    <row r="37" spans="1:2" x14ac:dyDescent="0.2">
      <c r="A37" s="62" t="s">
        <v>143</v>
      </c>
      <c r="B37" s="68">
        <v>55000</v>
      </c>
    </row>
    <row r="38" spans="1:2" ht="22" customHeight="1" thickBot="1" x14ac:dyDescent="0.25">
      <c r="A38" s="92" t="s">
        <v>144</v>
      </c>
      <c r="B38" s="93">
        <v>8000</v>
      </c>
    </row>
    <row r="39" spans="1:2" ht="17" customHeight="1" x14ac:dyDescent="0.2"/>
    <row r="40" spans="1:2" ht="17" customHeight="1" x14ac:dyDescent="0.2"/>
    <row r="41" spans="1:2" ht="17" customHeight="1" x14ac:dyDescent="0.2"/>
    <row r="42" spans="1:2" ht="17" customHeight="1" x14ac:dyDescent="0.2"/>
    <row r="43" spans="1:2" ht="17" customHeight="1" x14ac:dyDescent="0.2"/>
    <row r="44" spans="1:2" ht="17" customHeight="1" x14ac:dyDescent="0.2"/>
    <row r="45" spans="1:2" ht="17" customHeight="1" x14ac:dyDescent="0.2"/>
    <row r="46" spans="1:2" ht="17" customHeight="1" x14ac:dyDescent="0.2"/>
  </sheetData>
  <mergeCells count="5">
    <mergeCell ref="A30:B30"/>
    <mergeCell ref="A10:E10"/>
    <mergeCell ref="A25:E25"/>
    <mergeCell ref="A1:E1"/>
    <mergeCell ref="A17:E17"/>
  </mergeCells>
  <phoneticPr fontId="2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showGridLines="0" workbookViewId="0">
      <selection activeCell="E45" sqref="E45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3" width="22" customWidth="1"/>
    <col min="4" max="4" width="18" customWidth="1"/>
    <col min="5" max="5" width="22" customWidth="1"/>
    <col min="6" max="6" width="20" customWidth="1"/>
    <col min="7" max="7" width="3" customWidth="1"/>
    <col min="8" max="8" width="28" customWidth="1"/>
    <col min="9" max="9" width="14" customWidth="1"/>
    <col min="14" max="14" width="24.83203125" customWidth="1"/>
  </cols>
  <sheetData>
    <row r="1" spans="1:6" ht="20" customHeight="1" x14ac:dyDescent="0.2">
      <c r="A1" s="168" t="s">
        <v>145</v>
      </c>
      <c r="B1" s="169"/>
      <c r="C1" s="169"/>
      <c r="D1" s="169"/>
      <c r="E1" s="169"/>
      <c r="F1" s="170"/>
    </row>
    <row r="2" spans="1:6" ht="28" customHeight="1" x14ac:dyDescent="0.2">
      <c r="A2" s="13" t="s">
        <v>48</v>
      </c>
      <c r="B2" s="14" t="s">
        <v>49</v>
      </c>
      <c r="C2" s="14" t="s">
        <v>50</v>
      </c>
      <c r="D2" s="14" t="s">
        <v>146</v>
      </c>
      <c r="E2" s="14" t="s">
        <v>147</v>
      </c>
      <c r="F2" s="26" t="s">
        <v>148</v>
      </c>
    </row>
    <row r="3" spans="1:6" x14ac:dyDescent="0.2">
      <c r="A3" s="27" t="s">
        <v>53</v>
      </c>
      <c r="B3" s="28">
        <v>10777</v>
      </c>
      <c r="C3" s="29">
        <v>92027750</v>
      </c>
      <c r="D3" s="46">
        <v>9.9563886053632741E-2</v>
      </c>
      <c r="E3" s="94">
        <v>4123188.1866474911</v>
      </c>
      <c r="F3" s="95">
        <v>4.4803748724134743E-2</v>
      </c>
    </row>
    <row r="4" spans="1:6" x14ac:dyDescent="0.2">
      <c r="A4" s="32" t="s">
        <v>54</v>
      </c>
      <c r="B4" s="33">
        <v>10451</v>
      </c>
      <c r="C4" s="34">
        <v>104462800</v>
      </c>
      <c r="D4" s="48">
        <v>0.16275954454119221</v>
      </c>
      <c r="E4" s="96">
        <v>7651042.9872739445</v>
      </c>
      <c r="F4" s="97">
        <v>7.3241795043536506E-2</v>
      </c>
    </row>
    <row r="5" spans="1:6" x14ac:dyDescent="0.2">
      <c r="A5" s="27" t="s">
        <v>55</v>
      </c>
      <c r="B5" s="28">
        <v>6458</v>
      </c>
      <c r="C5" s="29">
        <v>59503125</v>
      </c>
      <c r="D5" s="46">
        <v>0.207339733663673</v>
      </c>
      <c r="E5" s="94">
        <v>5551812.9403453087</v>
      </c>
      <c r="F5" s="95">
        <v>9.3302880148652845E-2</v>
      </c>
    </row>
    <row r="6" spans="1:6" x14ac:dyDescent="0.2">
      <c r="A6" s="32" t="s">
        <v>56</v>
      </c>
      <c r="B6" s="33">
        <v>3626</v>
      </c>
      <c r="C6" s="34">
        <v>39339350</v>
      </c>
      <c r="D6" s="48">
        <v>0.59045780474351905</v>
      </c>
      <c r="E6" s="96">
        <v>10452701.80846663</v>
      </c>
      <c r="F6" s="97">
        <v>0.26570601213458361</v>
      </c>
    </row>
    <row r="7" spans="1:6" x14ac:dyDescent="0.2">
      <c r="A7" s="27" t="s">
        <v>57</v>
      </c>
      <c r="B7" s="28">
        <v>964</v>
      </c>
      <c r="C7" s="29">
        <v>12450875</v>
      </c>
      <c r="D7" s="46">
        <v>0.64419087136929465</v>
      </c>
      <c r="E7" s="94">
        <v>3609333.0070020752</v>
      </c>
      <c r="F7" s="95">
        <v>0.2898858921161826</v>
      </c>
    </row>
    <row r="8" spans="1:6" x14ac:dyDescent="0.2">
      <c r="A8" s="32" t="s">
        <v>58</v>
      </c>
      <c r="B8" s="33">
        <v>241</v>
      </c>
      <c r="C8" s="34">
        <v>3546875</v>
      </c>
      <c r="D8" s="48">
        <v>0.70539419087136934</v>
      </c>
      <c r="E8" s="96">
        <v>1125875.2593361</v>
      </c>
      <c r="F8" s="97">
        <v>0.31742738589211622</v>
      </c>
    </row>
    <row r="9" spans="1:6" x14ac:dyDescent="0.2">
      <c r="A9" s="27" t="s">
        <v>59</v>
      </c>
      <c r="B9" s="28">
        <v>64</v>
      </c>
      <c r="C9" s="29">
        <v>1100525</v>
      </c>
      <c r="D9" s="46">
        <v>0.984375</v>
      </c>
      <c r="E9" s="94">
        <v>487498.18359375</v>
      </c>
      <c r="F9" s="95">
        <v>0.44296875000000002</v>
      </c>
    </row>
    <row r="10" spans="1:6" ht="16" thickBot="1" x14ac:dyDescent="0.25">
      <c r="A10" s="98" t="s">
        <v>149</v>
      </c>
      <c r="B10" s="99">
        <v>32581</v>
      </c>
      <c r="C10" s="100">
        <v>312431300</v>
      </c>
      <c r="D10" s="101">
        <v>0.2181639605905282</v>
      </c>
      <c r="E10" s="102">
        <v>33001452.372665301</v>
      </c>
      <c r="F10" s="103">
        <v>9.8173782265737711E-2</v>
      </c>
    </row>
    <row r="11" spans="1:6" ht="16" thickBot="1" x14ac:dyDescent="0.25"/>
    <row r="12" spans="1:6" ht="20" customHeight="1" x14ac:dyDescent="0.2">
      <c r="A12" s="168" t="s">
        <v>150</v>
      </c>
      <c r="B12" s="169"/>
      <c r="C12" s="169"/>
      <c r="D12" s="169"/>
      <c r="E12" s="169"/>
      <c r="F12" s="170"/>
    </row>
    <row r="13" spans="1:6" ht="28" customHeight="1" x14ac:dyDescent="0.2">
      <c r="A13" s="13" t="s">
        <v>76</v>
      </c>
      <c r="B13" s="14" t="s">
        <v>49</v>
      </c>
      <c r="C13" s="14" t="s">
        <v>151</v>
      </c>
      <c r="D13" s="14" t="s">
        <v>50</v>
      </c>
      <c r="E13" s="14" t="s">
        <v>152</v>
      </c>
      <c r="F13" s="26" t="s">
        <v>153</v>
      </c>
    </row>
    <row r="14" spans="1:6" x14ac:dyDescent="0.2">
      <c r="A14" s="17" t="s">
        <v>77</v>
      </c>
      <c r="B14" s="33">
        <v>21228</v>
      </c>
      <c r="C14" s="48">
        <v>0.65154537920874134</v>
      </c>
      <c r="D14" s="34">
        <v>196490550</v>
      </c>
      <c r="E14" s="48">
        <v>0.62890801913892747</v>
      </c>
      <c r="F14" s="36">
        <v>0.13067646504616551</v>
      </c>
    </row>
    <row r="15" spans="1:6" x14ac:dyDescent="0.2">
      <c r="A15" s="15" t="s">
        <v>78</v>
      </c>
      <c r="B15" s="28">
        <v>10084</v>
      </c>
      <c r="C15" s="46">
        <v>0.30950554003867292</v>
      </c>
      <c r="D15" s="29">
        <v>98842475</v>
      </c>
      <c r="E15" s="46">
        <v>0.31636546978487751</v>
      </c>
      <c r="F15" s="31">
        <v>0.34510115033716782</v>
      </c>
    </row>
    <row r="16" spans="1:6" x14ac:dyDescent="0.2">
      <c r="A16" s="22" t="s">
        <v>79</v>
      </c>
      <c r="B16" s="41">
        <v>1269</v>
      </c>
      <c r="C16" s="55">
        <v>3.8949080752585873E-2</v>
      </c>
      <c r="D16" s="42">
        <v>17098275</v>
      </c>
      <c r="E16" s="55">
        <v>5.4726511076194993E-2</v>
      </c>
      <c r="F16" s="44">
        <v>0.67297084318360911</v>
      </c>
    </row>
    <row r="18" spans="1:6" ht="20" customHeight="1" x14ac:dyDescent="0.2">
      <c r="A18" s="168" t="s">
        <v>154</v>
      </c>
      <c r="B18" s="169"/>
      <c r="C18" s="169"/>
      <c r="D18" s="169"/>
      <c r="E18" s="169"/>
      <c r="F18" s="170"/>
    </row>
    <row r="19" spans="1:6" ht="28" customHeight="1" x14ac:dyDescent="0.2">
      <c r="A19" s="13" t="s">
        <v>155</v>
      </c>
      <c r="B19" s="14" t="s">
        <v>49</v>
      </c>
      <c r="C19" s="14" t="s">
        <v>102</v>
      </c>
      <c r="D19" s="14" t="s">
        <v>103</v>
      </c>
      <c r="E19" s="14" t="s">
        <v>51</v>
      </c>
      <c r="F19" s="26" t="s">
        <v>52</v>
      </c>
    </row>
    <row r="20" spans="1:6" x14ac:dyDescent="0.2">
      <c r="A20" s="45" t="s">
        <v>156</v>
      </c>
      <c r="B20" s="28">
        <v>8951</v>
      </c>
      <c r="C20" s="74">
        <v>4969.1654563735892</v>
      </c>
      <c r="D20" s="29">
        <v>87815.580605518931</v>
      </c>
      <c r="E20" s="46">
        <v>0.1154060998771087</v>
      </c>
      <c r="F20" s="31">
        <v>0.1053755758098288</v>
      </c>
    </row>
    <row r="21" spans="1:6" x14ac:dyDescent="0.2">
      <c r="A21" s="47" t="s">
        <v>157</v>
      </c>
      <c r="B21" s="33">
        <v>12528</v>
      </c>
      <c r="C21" s="77">
        <v>9182.7945402298847</v>
      </c>
      <c r="D21" s="34">
        <v>65725.501356960405</v>
      </c>
      <c r="E21" s="48">
        <v>0.14734993614303959</v>
      </c>
      <c r="F21" s="36">
        <v>0.10893884809342649</v>
      </c>
    </row>
    <row r="22" spans="1:6" x14ac:dyDescent="0.2">
      <c r="A22" s="45" t="s">
        <v>158</v>
      </c>
      <c r="B22" s="28">
        <v>6817</v>
      </c>
      <c r="C22" s="74">
        <v>12648.22502567112</v>
      </c>
      <c r="D22" s="29">
        <v>53291.227666128798</v>
      </c>
      <c r="E22" s="46">
        <v>0.208889540853748</v>
      </c>
      <c r="F22" s="31">
        <v>0.1144280824140169</v>
      </c>
    </row>
    <row r="23" spans="1:6" x14ac:dyDescent="0.2">
      <c r="A23" s="47" t="s">
        <v>159</v>
      </c>
      <c r="B23" s="33">
        <v>3949</v>
      </c>
      <c r="C23" s="77">
        <v>15344.05545707774</v>
      </c>
      <c r="D23" s="34">
        <v>42760.858191947329</v>
      </c>
      <c r="E23" s="48">
        <v>0.64497341099012406</v>
      </c>
      <c r="F23" s="36">
        <v>0.11678808058198099</v>
      </c>
    </row>
    <row r="24" spans="1:6" x14ac:dyDescent="0.2">
      <c r="A24" s="54" t="s">
        <v>160</v>
      </c>
      <c r="B24" s="41">
        <v>336</v>
      </c>
      <c r="C24" s="88">
        <v>18135.788690476191</v>
      </c>
      <c r="D24" s="42">
        <v>33301.6875</v>
      </c>
      <c r="E24" s="55">
        <v>0.7678571428571429</v>
      </c>
      <c r="F24" s="44">
        <v>0.1146901639344262</v>
      </c>
    </row>
    <row r="25" spans="1:6" ht="16" thickBot="1" x14ac:dyDescent="0.25">
      <c r="C25" s="163"/>
      <c r="D25" s="163"/>
      <c r="E25" s="163"/>
      <c r="F25" s="163"/>
    </row>
    <row r="26" spans="1:6" x14ac:dyDescent="0.2">
      <c r="A26" s="171" t="s">
        <v>161</v>
      </c>
      <c r="B26" s="172"/>
      <c r="C26" s="163"/>
      <c r="D26" s="163"/>
      <c r="E26" s="163"/>
      <c r="F26" s="163"/>
    </row>
    <row r="27" spans="1:6" x14ac:dyDescent="0.2">
      <c r="A27" s="154" t="s">
        <v>162</v>
      </c>
      <c r="B27" s="155">
        <v>0.45</v>
      </c>
      <c r="C27" s="163"/>
      <c r="D27" s="163"/>
      <c r="E27" s="163"/>
      <c r="F27" s="163"/>
    </row>
    <row r="28" spans="1:6" x14ac:dyDescent="0.2">
      <c r="A28" s="64" t="s">
        <v>163</v>
      </c>
      <c r="B28" s="156">
        <v>0.08</v>
      </c>
      <c r="C28" s="163"/>
      <c r="D28" s="163"/>
      <c r="E28" s="163"/>
      <c r="F28" s="163"/>
    </row>
    <row r="29" spans="1:6" x14ac:dyDescent="0.2">
      <c r="A29" s="62" t="s">
        <v>164</v>
      </c>
      <c r="B29" s="157" t="s">
        <v>165</v>
      </c>
      <c r="C29" s="163"/>
      <c r="D29" s="163"/>
      <c r="E29" s="163"/>
      <c r="F29" s="163"/>
    </row>
    <row r="30" spans="1:6" ht="26" x14ac:dyDescent="0.2">
      <c r="A30" s="64" t="s">
        <v>166</v>
      </c>
      <c r="B30" s="158" t="s">
        <v>167</v>
      </c>
      <c r="C30" s="163"/>
      <c r="D30" s="163"/>
      <c r="E30" s="163"/>
      <c r="F30" s="163"/>
    </row>
    <row r="31" spans="1:6" x14ac:dyDescent="0.2">
      <c r="A31" s="62" t="s">
        <v>168</v>
      </c>
      <c r="B31" s="159">
        <v>9.9599999999999994E-2</v>
      </c>
      <c r="C31" s="163"/>
      <c r="D31" s="163"/>
      <c r="E31" s="163"/>
      <c r="F31" s="163"/>
    </row>
    <row r="32" spans="1:6" x14ac:dyDescent="0.2">
      <c r="A32" s="64" t="s">
        <v>169</v>
      </c>
      <c r="B32" s="160">
        <v>0.98440000000000005</v>
      </c>
      <c r="C32" s="163"/>
      <c r="D32" s="163"/>
      <c r="E32" s="163"/>
      <c r="F32" s="163"/>
    </row>
    <row r="33" spans="1:6" x14ac:dyDescent="0.2">
      <c r="A33" s="62" t="s">
        <v>170</v>
      </c>
      <c r="B33" s="161">
        <v>33001452.372665301</v>
      </c>
      <c r="C33" s="163"/>
      <c r="D33" s="163"/>
      <c r="E33" s="163"/>
      <c r="F33" s="163"/>
    </row>
    <row r="34" spans="1:6" ht="16" thickBot="1" x14ac:dyDescent="0.25">
      <c r="A34" s="92" t="s">
        <v>148</v>
      </c>
      <c r="B34" s="162">
        <v>9.8173782265737711E-2</v>
      </c>
    </row>
    <row r="35" spans="1:6" ht="22" customHeight="1" x14ac:dyDescent="0.2"/>
    <row r="36" spans="1:6" ht="17" customHeight="1" x14ac:dyDescent="0.2"/>
    <row r="37" spans="1:6" ht="17" customHeight="1" x14ac:dyDescent="0.2"/>
    <row r="38" spans="1:6" ht="17" customHeight="1" x14ac:dyDescent="0.2"/>
    <row r="39" spans="1:6" ht="17" customHeight="1" x14ac:dyDescent="0.2"/>
    <row r="40" spans="1:6" ht="17" customHeight="1" x14ac:dyDescent="0.2"/>
    <row r="41" spans="1:6" ht="17" customHeight="1" x14ac:dyDescent="0.2"/>
    <row r="42" spans="1:6" ht="17" customHeight="1" x14ac:dyDescent="0.2"/>
    <row r="43" spans="1:6" ht="17" customHeight="1" x14ac:dyDescent="0.2"/>
  </sheetData>
  <mergeCells count="4">
    <mergeCell ref="A26:B26"/>
    <mergeCell ref="A1:F1"/>
    <mergeCell ref="A12:F12"/>
    <mergeCell ref="A18:F1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showGridLines="0" workbookViewId="0">
      <selection activeCell="B37" sqref="B37"/>
    </sheetView>
  </sheetViews>
  <sheetFormatPr baseColWidth="10" defaultColWidth="8.83203125" defaultRowHeight="15" x14ac:dyDescent="0.2"/>
  <cols>
    <col min="1" max="1" width="40" customWidth="1"/>
    <col min="2" max="3" width="26" customWidth="1"/>
    <col min="4" max="4" width="30" customWidth="1"/>
    <col min="5" max="5" width="3" customWidth="1"/>
    <col min="6" max="6" width="28" customWidth="1"/>
    <col min="7" max="7" width="14" customWidth="1"/>
  </cols>
  <sheetData>
    <row r="1" spans="1:4" ht="20" customHeight="1" x14ac:dyDescent="0.2">
      <c r="A1" s="168" t="s">
        <v>171</v>
      </c>
      <c r="B1" s="169"/>
      <c r="C1" s="169"/>
      <c r="D1" s="170"/>
    </row>
    <row r="2" spans="1:4" ht="28" customHeight="1" x14ac:dyDescent="0.2">
      <c r="A2" s="13" t="s">
        <v>172</v>
      </c>
      <c r="B2" s="14" t="s">
        <v>173</v>
      </c>
      <c r="C2" s="14" t="s">
        <v>174</v>
      </c>
      <c r="D2" s="26" t="s">
        <v>175</v>
      </c>
    </row>
    <row r="3" spans="1:4" x14ac:dyDescent="0.2">
      <c r="A3" s="15" t="s">
        <v>176</v>
      </c>
      <c r="B3" s="105">
        <v>1</v>
      </c>
      <c r="C3" s="105">
        <v>1.75</v>
      </c>
      <c r="D3" s="106">
        <v>2.5</v>
      </c>
    </row>
    <row r="4" spans="1:4" x14ac:dyDescent="0.2">
      <c r="A4" s="17" t="s">
        <v>88</v>
      </c>
      <c r="B4" s="107">
        <v>0.45</v>
      </c>
      <c r="C4" s="107">
        <v>0.55000000000000004</v>
      </c>
      <c r="D4" s="108">
        <v>0.65</v>
      </c>
    </row>
    <row r="5" spans="1:4" x14ac:dyDescent="0.2">
      <c r="A5" s="22" t="s">
        <v>177</v>
      </c>
      <c r="B5" s="109">
        <v>0</v>
      </c>
      <c r="C5" s="109">
        <v>0.1</v>
      </c>
      <c r="D5" s="110">
        <v>0.25</v>
      </c>
    </row>
    <row r="7" spans="1:4" ht="20" customHeight="1" x14ac:dyDescent="0.2">
      <c r="A7" s="168" t="s">
        <v>178</v>
      </c>
      <c r="B7" s="169"/>
      <c r="C7" s="169"/>
      <c r="D7" s="170"/>
    </row>
    <row r="8" spans="1:4" ht="28" customHeight="1" x14ac:dyDescent="0.2">
      <c r="A8" s="13" t="s">
        <v>179</v>
      </c>
      <c r="B8" s="14" t="s">
        <v>173</v>
      </c>
      <c r="C8" s="14" t="s">
        <v>174</v>
      </c>
      <c r="D8" s="26" t="s">
        <v>175</v>
      </c>
    </row>
    <row r="9" spans="1:4" x14ac:dyDescent="0.2">
      <c r="A9" s="45" t="s">
        <v>180</v>
      </c>
      <c r="B9" s="111">
        <f>IFERROR(B3*0.218164,0)</f>
        <v>0.218164</v>
      </c>
      <c r="C9" s="111">
        <f>IFERROR(C3*0.218164,0)</f>
        <v>0.38178699999999999</v>
      </c>
      <c r="D9" s="112">
        <f>IFERROR(D3*0.218164,0)</f>
        <v>0.54540999999999995</v>
      </c>
    </row>
    <row r="10" spans="1:4" x14ac:dyDescent="0.2">
      <c r="A10" s="47" t="s">
        <v>181</v>
      </c>
      <c r="B10" s="113">
        <f>IFERROR(312431300*(1+B5),0)</f>
        <v>312431300</v>
      </c>
      <c r="C10" s="113">
        <f>IFERROR(312431300*(1+C5),0)</f>
        <v>343674430</v>
      </c>
      <c r="D10" s="114">
        <f>IFERROR(312431300*(1+D5),0)</f>
        <v>390539125</v>
      </c>
    </row>
    <row r="11" spans="1:4" x14ac:dyDescent="0.2">
      <c r="A11" s="59" t="s">
        <v>182</v>
      </c>
      <c r="B11" s="115">
        <f>IFERROR(B9*B4*B10,0)</f>
        <v>30672567.959940001</v>
      </c>
      <c r="C11" s="115">
        <f>IFERROR(C9*C4*C10,0)</f>
        <v>72165736.283525497</v>
      </c>
      <c r="D11" s="116">
        <f>IFERROR(D9*D4*D10,0)</f>
        <v>138452563.70806247</v>
      </c>
    </row>
    <row r="12" spans="1:4" x14ac:dyDescent="0.2">
      <c r="A12" s="45" t="s">
        <v>183</v>
      </c>
      <c r="B12" s="111">
        <f>IFERROR(B9*B4,0)</f>
        <v>9.8173800000000006E-2</v>
      </c>
      <c r="C12" s="111">
        <f>IFERROR(C9*C4,0)</f>
        <v>0.20998285</v>
      </c>
      <c r="D12" s="112">
        <f>IFERROR(D9*D4,0)</f>
        <v>0.35451649999999996</v>
      </c>
    </row>
    <row r="13" spans="1:4" x14ac:dyDescent="0.2">
      <c r="A13" s="49" t="s">
        <v>184</v>
      </c>
      <c r="B13" s="117">
        <f>IFERROR(B11/24994504,0)</f>
        <v>1.2271725</v>
      </c>
      <c r="C13" s="117">
        <f>IFERROR(C11/24994504,0)</f>
        <v>2.8872641875</v>
      </c>
      <c r="D13" s="118">
        <f>IFERROR(D11/24994504,0)</f>
        <v>5.5393203124999992</v>
      </c>
    </row>
    <row r="15" spans="1:4" ht="20" customHeight="1" x14ac:dyDescent="0.2">
      <c r="A15" s="168" t="s">
        <v>185</v>
      </c>
      <c r="B15" s="169"/>
      <c r="C15" s="169"/>
      <c r="D15" s="170"/>
    </row>
    <row r="16" spans="1:4" ht="16" customHeight="1" x14ac:dyDescent="0.2">
      <c r="A16" s="173" t="s">
        <v>186</v>
      </c>
      <c r="B16" s="174"/>
      <c r="C16" s="174"/>
      <c r="D16" s="175"/>
    </row>
    <row r="17" spans="1:8" x14ac:dyDescent="0.2">
      <c r="A17" s="119" t="s">
        <v>187</v>
      </c>
      <c r="B17" s="120" t="s">
        <v>188</v>
      </c>
      <c r="C17" s="120" t="s">
        <v>189</v>
      </c>
      <c r="D17" s="121" t="s">
        <v>190</v>
      </c>
    </row>
    <row r="18" spans="1:8" x14ac:dyDescent="0.2">
      <c r="A18" s="56" t="s">
        <v>191</v>
      </c>
      <c r="B18" s="122">
        <v>23856437.437156629</v>
      </c>
      <c r="C18" s="122">
        <v>30672562.419201382</v>
      </c>
      <c r="D18" s="123">
        <v>37488687.40124613</v>
      </c>
    </row>
    <row r="19" spans="1:8" x14ac:dyDescent="0.2">
      <c r="A19" s="56" t="s">
        <v>192</v>
      </c>
      <c r="B19" s="124">
        <v>47712874.87431325</v>
      </c>
      <c r="C19" s="124">
        <v>61345124.838402763</v>
      </c>
      <c r="D19" s="125">
        <v>74977374.802492261</v>
      </c>
    </row>
    <row r="20" spans="1:8" ht="22" customHeight="1" x14ac:dyDescent="0.2">
      <c r="A20" s="126" t="s">
        <v>193</v>
      </c>
      <c r="B20" s="127">
        <v>71569312.311469868</v>
      </c>
      <c r="C20" s="127">
        <v>92017687.257604122</v>
      </c>
      <c r="D20" s="128">
        <v>112466062.20373841</v>
      </c>
      <c r="F20" s="171" t="s">
        <v>194</v>
      </c>
      <c r="G20" s="172"/>
      <c r="H20" s="165"/>
    </row>
    <row r="21" spans="1:8" ht="17" customHeight="1" x14ac:dyDescent="0.2">
      <c r="F21" s="62" t="s">
        <v>195</v>
      </c>
      <c r="G21" s="70">
        <v>0.2181639605905282</v>
      </c>
      <c r="H21" s="165"/>
    </row>
    <row r="22" spans="1:8" ht="17" customHeight="1" x14ac:dyDescent="0.2">
      <c r="A22" s="168" t="s">
        <v>196</v>
      </c>
      <c r="B22" s="169"/>
      <c r="C22" s="169"/>
      <c r="D22" s="170"/>
      <c r="F22" s="64" t="s">
        <v>197</v>
      </c>
      <c r="G22" s="65">
        <v>0.45</v>
      </c>
      <c r="H22" s="165"/>
    </row>
    <row r="23" spans="1:8" ht="17" customHeight="1" x14ac:dyDescent="0.2">
      <c r="A23" s="13" t="s">
        <v>198</v>
      </c>
      <c r="B23" s="14" t="s">
        <v>199</v>
      </c>
      <c r="C23" s="14" t="s">
        <v>200</v>
      </c>
      <c r="D23" s="26" t="s">
        <v>201</v>
      </c>
      <c r="F23" s="62" t="s">
        <v>202</v>
      </c>
      <c r="G23" s="68">
        <v>312431300</v>
      </c>
      <c r="H23" s="165"/>
    </row>
    <row r="24" spans="1:8" ht="17" customHeight="1" x14ac:dyDescent="0.2">
      <c r="A24" s="15" t="s">
        <v>173</v>
      </c>
      <c r="B24" s="129" t="s">
        <v>203</v>
      </c>
      <c r="C24" s="129" t="s">
        <v>204</v>
      </c>
      <c r="D24" s="2" t="s">
        <v>205</v>
      </c>
      <c r="F24" s="64" t="s">
        <v>206</v>
      </c>
      <c r="G24" s="130">
        <v>1.75</v>
      </c>
      <c r="H24" s="165"/>
    </row>
    <row r="25" spans="1:8" ht="17" customHeight="1" x14ac:dyDescent="0.2">
      <c r="A25" s="17" t="s">
        <v>174</v>
      </c>
      <c r="B25" s="131" t="s">
        <v>207</v>
      </c>
      <c r="C25" s="131" t="s">
        <v>208</v>
      </c>
      <c r="D25" s="5" t="s">
        <v>209</v>
      </c>
      <c r="F25" s="62" t="s">
        <v>210</v>
      </c>
      <c r="G25" s="132">
        <v>2.5</v>
      </c>
      <c r="H25" s="165"/>
    </row>
    <row r="26" spans="1:8" ht="17" customHeight="1" x14ac:dyDescent="0.2">
      <c r="A26" s="22" t="s">
        <v>175</v>
      </c>
      <c r="B26" s="133" t="s">
        <v>211</v>
      </c>
      <c r="C26" s="133" t="s">
        <v>212</v>
      </c>
      <c r="D26" s="8" t="s">
        <v>213</v>
      </c>
      <c r="F26" s="64" t="s">
        <v>214</v>
      </c>
      <c r="G26" s="65">
        <v>0.55000000000000004</v>
      </c>
      <c r="H26" s="165"/>
    </row>
    <row r="27" spans="1:8" ht="17" customHeight="1" x14ac:dyDescent="0.2">
      <c r="A27" s="163"/>
      <c r="B27" s="163"/>
      <c r="C27" s="163"/>
      <c r="D27" s="163"/>
      <c r="F27" s="62" t="s">
        <v>215</v>
      </c>
      <c r="G27" s="63">
        <v>0.65</v>
      </c>
      <c r="H27" s="165"/>
    </row>
    <row r="28" spans="1:8" ht="17" customHeight="1" x14ac:dyDescent="0.2">
      <c r="A28" s="163"/>
      <c r="B28" s="163"/>
      <c r="C28" s="163"/>
      <c r="D28" s="163"/>
      <c r="F28" s="64" t="s">
        <v>163</v>
      </c>
      <c r="G28" s="65">
        <v>0.08</v>
      </c>
      <c r="H28" s="165"/>
    </row>
    <row r="29" spans="1:8" ht="17" customHeight="1" x14ac:dyDescent="0.2">
      <c r="A29" s="166" t="s">
        <v>173</v>
      </c>
      <c r="B29" s="166" t="s">
        <v>174</v>
      </c>
      <c r="C29" s="166" t="s">
        <v>216</v>
      </c>
      <c r="D29" s="163"/>
      <c r="F29" s="62" t="s">
        <v>217</v>
      </c>
      <c r="G29" s="68">
        <v>30672562.419201382</v>
      </c>
      <c r="H29" s="165"/>
    </row>
    <row r="30" spans="1:8" ht="17" customHeight="1" x14ac:dyDescent="0.2">
      <c r="A30" s="167">
        <v>30672562.419201382</v>
      </c>
      <c r="B30" s="167">
        <v>72165723.247398809</v>
      </c>
      <c r="C30" s="167">
        <v>138452538.69778401</v>
      </c>
      <c r="D30" s="163"/>
      <c r="F30" s="64" t="s">
        <v>218</v>
      </c>
      <c r="G30" s="69">
        <v>72165723.247398809</v>
      </c>
      <c r="H30" s="165"/>
    </row>
    <row r="31" spans="1:8" ht="17" customHeight="1" x14ac:dyDescent="0.2">
      <c r="A31" s="164"/>
      <c r="B31" s="164"/>
      <c r="C31" s="164"/>
      <c r="D31" s="163"/>
      <c r="F31" s="71" t="s">
        <v>219</v>
      </c>
      <c r="G31" s="134">
        <v>138452538.69778401</v>
      </c>
      <c r="H31" s="165"/>
    </row>
    <row r="32" spans="1:8" x14ac:dyDescent="0.2">
      <c r="A32" s="164"/>
      <c r="B32" s="164"/>
      <c r="C32" s="164"/>
      <c r="D32" s="163"/>
    </row>
    <row r="33" spans="1:4" x14ac:dyDescent="0.2">
      <c r="A33" s="164"/>
      <c r="B33" s="164"/>
      <c r="C33" s="164"/>
      <c r="D33" s="163"/>
    </row>
    <row r="34" spans="1:4" x14ac:dyDescent="0.2">
      <c r="A34" s="164"/>
      <c r="B34" s="164"/>
      <c r="C34" s="164"/>
      <c r="D34" s="163"/>
    </row>
    <row r="35" spans="1:4" x14ac:dyDescent="0.2">
      <c r="A35" s="164"/>
      <c r="B35" s="164"/>
      <c r="C35" s="164"/>
      <c r="D35" s="163"/>
    </row>
    <row r="36" spans="1:4" x14ac:dyDescent="0.2">
      <c r="A36" s="164"/>
      <c r="B36" s="164"/>
      <c r="C36" s="164"/>
      <c r="D36" s="163"/>
    </row>
    <row r="37" spans="1:4" x14ac:dyDescent="0.2">
      <c r="A37" s="164"/>
      <c r="B37" s="164"/>
      <c r="C37" s="164"/>
      <c r="D37" s="163"/>
    </row>
    <row r="38" spans="1:4" x14ac:dyDescent="0.2">
      <c r="A38" s="164"/>
      <c r="B38" s="164"/>
      <c r="C38" s="164"/>
      <c r="D38" s="163"/>
    </row>
    <row r="39" spans="1:4" x14ac:dyDescent="0.2">
      <c r="A39" s="164"/>
      <c r="B39" s="164"/>
      <c r="C39" s="164"/>
      <c r="D39" s="163"/>
    </row>
    <row r="40" spans="1:4" x14ac:dyDescent="0.2">
      <c r="A40" s="163"/>
      <c r="B40" s="163"/>
      <c r="C40" s="163"/>
      <c r="D40" s="163"/>
    </row>
    <row r="41" spans="1:4" x14ac:dyDescent="0.2">
      <c r="A41" s="163"/>
      <c r="B41" s="163"/>
      <c r="C41" s="163"/>
      <c r="D41" s="163"/>
    </row>
    <row r="42" spans="1:4" x14ac:dyDescent="0.2">
      <c r="A42" s="163"/>
      <c r="B42" s="163"/>
      <c r="C42" s="163"/>
      <c r="D42" s="163"/>
    </row>
    <row r="43" spans="1:4" x14ac:dyDescent="0.2">
      <c r="A43" s="163"/>
      <c r="B43" s="163"/>
      <c r="C43" s="163"/>
      <c r="D43" s="163"/>
    </row>
    <row r="44" spans="1:4" x14ac:dyDescent="0.2">
      <c r="A44" s="163"/>
      <c r="B44" s="163"/>
      <c r="C44" s="163"/>
      <c r="D44" s="163"/>
    </row>
    <row r="45" spans="1:4" x14ac:dyDescent="0.2">
      <c r="A45" s="163"/>
      <c r="B45" s="163"/>
      <c r="C45" s="163"/>
      <c r="D45" s="163"/>
    </row>
    <row r="46" spans="1:4" x14ac:dyDescent="0.2">
      <c r="A46" s="163"/>
      <c r="B46" s="163"/>
      <c r="C46" s="163"/>
      <c r="D46" s="163"/>
    </row>
    <row r="47" spans="1:4" x14ac:dyDescent="0.2">
      <c r="A47" s="163"/>
      <c r="B47" s="163"/>
      <c r="C47" s="163"/>
      <c r="D47" s="163"/>
    </row>
    <row r="48" spans="1:4" x14ac:dyDescent="0.2">
      <c r="A48" s="163"/>
      <c r="B48" s="163"/>
      <c r="C48" s="163"/>
      <c r="D48" s="163"/>
    </row>
    <row r="49" spans="1:4" x14ac:dyDescent="0.2">
      <c r="A49" s="163"/>
      <c r="B49" s="163"/>
      <c r="C49" s="163"/>
      <c r="D49" s="163"/>
    </row>
    <row r="50" spans="1:4" x14ac:dyDescent="0.2">
      <c r="A50" s="163"/>
      <c r="B50" s="163"/>
      <c r="C50" s="163"/>
    </row>
    <row r="51" spans="1:4" x14ac:dyDescent="0.2">
      <c r="A51" s="163"/>
      <c r="B51" s="163"/>
      <c r="C51" s="163"/>
    </row>
  </sheetData>
  <mergeCells count="6">
    <mergeCell ref="A1:D1"/>
    <mergeCell ref="A22:D22"/>
    <mergeCell ref="F20:G20"/>
    <mergeCell ref="A15:D15"/>
    <mergeCell ref="A7:D7"/>
    <mergeCell ref="A16:D1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showGridLines="0" workbookViewId="0">
      <selection activeCell="L30" sqref="L30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5" width="20" customWidth="1"/>
    <col min="6" max="6" width="22" customWidth="1"/>
    <col min="7" max="7" width="3" customWidth="1"/>
    <col min="8" max="8" width="28" customWidth="1"/>
    <col min="9" max="9" width="14" customWidth="1"/>
  </cols>
  <sheetData>
    <row r="1" spans="1:6" ht="20" customHeight="1" x14ac:dyDescent="0.2">
      <c r="A1" s="200" t="s">
        <v>220</v>
      </c>
      <c r="B1" s="179"/>
      <c r="C1" s="179"/>
      <c r="D1" s="179"/>
      <c r="E1" s="179"/>
      <c r="F1" s="179"/>
    </row>
    <row r="2" spans="1:6" ht="15" customHeight="1" x14ac:dyDescent="0.2">
      <c r="A2" s="199" t="s">
        <v>221</v>
      </c>
      <c r="B2" s="181"/>
      <c r="C2" s="181"/>
      <c r="D2" s="181"/>
      <c r="E2" s="181"/>
      <c r="F2" s="181"/>
    </row>
    <row r="3" spans="1:6" ht="15" customHeight="1" x14ac:dyDescent="0.2">
      <c r="A3" s="199" t="s">
        <v>222</v>
      </c>
      <c r="B3" s="181"/>
      <c r="C3" s="181"/>
      <c r="D3" s="181"/>
      <c r="E3" s="181"/>
      <c r="F3" s="181"/>
    </row>
    <row r="5" spans="1:6" ht="20" customHeight="1" x14ac:dyDescent="0.2">
      <c r="A5" s="168" t="s">
        <v>223</v>
      </c>
      <c r="B5" s="169"/>
      <c r="C5" s="169"/>
      <c r="D5" s="169"/>
      <c r="E5" s="169"/>
      <c r="F5" s="170"/>
    </row>
    <row r="6" spans="1:6" ht="28" customHeight="1" x14ac:dyDescent="0.2">
      <c r="A6" s="13" t="s">
        <v>48</v>
      </c>
      <c r="B6" s="14" t="s">
        <v>49</v>
      </c>
      <c r="C6" s="14" t="s">
        <v>224</v>
      </c>
      <c r="D6" s="14" t="s">
        <v>225</v>
      </c>
      <c r="E6" s="14" t="s">
        <v>226</v>
      </c>
      <c r="F6" s="26" t="s">
        <v>102</v>
      </c>
    </row>
    <row r="7" spans="1:6" x14ac:dyDescent="0.2">
      <c r="A7" s="27" t="s">
        <v>227</v>
      </c>
      <c r="B7" s="28">
        <v>10777</v>
      </c>
      <c r="C7" s="111">
        <v>3.9825554421453101E-2</v>
      </c>
      <c r="D7" s="111">
        <v>6.9694720237542918E-2</v>
      </c>
      <c r="E7" s="135">
        <v>9.9563886053632741E-2</v>
      </c>
      <c r="F7" s="83">
        <v>8539.2734527233915</v>
      </c>
    </row>
    <row r="8" spans="1:6" x14ac:dyDescent="0.2">
      <c r="A8" s="32" t="s">
        <v>228</v>
      </c>
      <c r="B8" s="33">
        <v>10451</v>
      </c>
      <c r="C8" s="136">
        <v>6.5103817816476894E-2</v>
      </c>
      <c r="D8" s="136">
        <v>0.11393168117883461</v>
      </c>
      <c r="E8" s="137">
        <v>0.16275954454119221</v>
      </c>
      <c r="F8" s="85">
        <v>9995.4836857716964</v>
      </c>
    </row>
    <row r="9" spans="1:6" x14ac:dyDescent="0.2">
      <c r="A9" s="27" t="s">
        <v>229</v>
      </c>
      <c r="B9" s="28">
        <v>6458</v>
      </c>
      <c r="C9" s="111">
        <v>8.2935893465469201E-2</v>
      </c>
      <c r="D9" s="111">
        <v>0.14513781356457109</v>
      </c>
      <c r="E9" s="138">
        <v>0.207339733663673</v>
      </c>
      <c r="F9" s="83">
        <v>9213.8626509755341</v>
      </c>
    </row>
    <row r="10" spans="1:6" x14ac:dyDescent="0.2">
      <c r="A10" s="32" t="s">
        <v>230</v>
      </c>
      <c r="B10" s="33">
        <v>3626</v>
      </c>
      <c r="C10" s="139">
        <v>0.23618312189740759</v>
      </c>
      <c r="D10" s="140">
        <v>0.41332046332046329</v>
      </c>
      <c r="E10" s="141">
        <v>0.59045780474351905</v>
      </c>
      <c r="F10" s="85">
        <v>10849.2415885273</v>
      </c>
    </row>
    <row r="11" spans="1:6" x14ac:dyDescent="0.2">
      <c r="A11" s="27" t="s">
        <v>231</v>
      </c>
      <c r="B11" s="28">
        <v>964</v>
      </c>
      <c r="C11" s="142">
        <v>0.25767634854771793</v>
      </c>
      <c r="D11" s="143">
        <v>0.45093360995850618</v>
      </c>
      <c r="E11" s="144">
        <v>0.64419087136929465</v>
      </c>
      <c r="F11" s="83">
        <v>12915.845435684651</v>
      </c>
    </row>
    <row r="12" spans="1:6" x14ac:dyDescent="0.2">
      <c r="A12" s="32" t="s">
        <v>232</v>
      </c>
      <c r="B12" s="33">
        <v>241</v>
      </c>
      <c r="C12" s="139">
        <v>0.28215767634854783</v>
      </c>
      <c r="D12" s="140">
        <v>0.49377593360995847</v>
      </c>
      <c r="E12" s="141">
        <v>0.70539419087136934</v>
      </c>
      <c r="F12" s="85">
        <v>14717.32365145228</v>
      </c>
    </row>
    <row r="13" spans="1:6" x14ac:dyDescent="0.2">
      <c r="A13" s="40" t="s">
        <v>233</v>
      </c>
      <c r="B13" s="41">
        <v>64</v>
      </c>
      <c r="C13" s="145">
        <v>0.39374999999999999</v>
      </c>
      <c r="D13" s="146">
        <v>0.68906249999999991</v>
      </c>
      <c r="E13" s="147">
        <v>0.984375</v>
      </c>
      <c r="F13" s="148">
        <v>17195.703125</v>
      </c>
    </row>
    <row r="15" spans="1:6" ht="20" customHeight="1" x14ac:dyDescent="0.2">
      <c r="A15" s="168" t="s">
        <v>234</v>
      </c>
      <c r="B15" s="169"/>
      <c r="C15" s="169"/>
      <c r="D15" s="169"/>
      <c r="E15" s="169"/>
      <c r="F15" s="170"/>
    </row>
    <row r="16" spans="1:6" ht="28" customHeight="1" x14ac:dyDescent="0.2">
      <c r="A16" s="13" t="s">
        <v>68</v>
      </c>
      <c r="B16" s="14" t="s">
        <v>49</v>
      </c>
      <c r="C16" s="14" t="s">
        <v>224</v>
      </c>
      <c r="D16" s="14" t="s">
        <v>225</v>
      </c>
      <c r="E16" s="14" t="s">
        <v>226</v>
      </c>
      <c r="F16" s="26" t="s">
        <v>102</v>
      </c>
    </row>
    <row r="17" spans="1:9" x14ac:dyDescent="0.2">
      <c r="A17" s="47" t="s">
        <v>235</v>
      </c>
      <c r="B17" s="33">
        <v>5719</v>
      </c>
      <c r="C17" s="136">
        <v>5.924112607099144E-2</v>
      </c>
      <c r="D17" s="136">
        <v>0.103671970624235</v>
      </c>
      <c r="E17" s="149">
        <v>0.14810281517747859</v>
      </c>
      <c r="F17" s="85">
        <v>9583.7777583493626</v>
      </c>
    </row>
    <row r="18" spans="1:9" x14ac:dyDescent="0.2">
      <c r="A18" s="47" t="s">
        <v>236</v>
      </c>
      <c r="B18" s="33">
        <v>6453</v>
      </c>
      <c r="C18" s="136">
        <v>6.8867193553386025E-2</v>
      </c>
      <c r="D18" s="136">
        <v>0.12051758871842549</v>
      </c>
      <c r="E18" s="137">
        <v>0.17216798388346499</v>
      </c>
      <c r="F18" s="85">
        <v>9482.678599101193</v>
      </c>
    </row>
    <row r="19" spans="1:9" x14ac:dyDescent="0.2">
      <c r="A19" s="45" t="s">
        <v>237</v>
      </c>
      <c r="B19" s="28">
        <v>5521</v>
      </c>
      <c r="C19" s="111">
        <v>7.9550806013403363E-2</v>
      </c>
      <c r="D19" s="111">
        <v>0.13921391052345591</v>
      </c>
      <c r="E19" s="138">
        <v>0.19887701503350841</v>
      </c>
      <c r="F19" s="83">
        <v>9573.7728672341964</v>
      </c>
    </row>
    <row r="20" spans="1:9" x14ac:dyDescent="0.2">
      <c r="A20" s="45" t="s">
        <v>238</v>
      </c>
      <c r="B20" s="28">
        <v>3605</v>
      </c>
      <c r="C20" s="111">
        <v>0.1044105409153953</v>
      </c>
      <c r="D20" s="142">
        <v>0.1827184466019417</v>
      </c>
      <c r="E20" s="138">
        <v>0.26102635228848819</v>
      </c>
      <c r="F20" s="83">
        <v>10360.520110957001</v>
      </c>
    </row>
    <row r="21" spans="1:9" x14ac:dyDescent="0.2">
      <c r="A21" s="47" t="s">
        <v>239</v>
      </c>
      <c r="B21" s="33">
        <v>6071</v>
      </c>
      <c r="C21" s="136">
        <v>0.1068028331411629</v>
      </c>
      <c r="D21" s="139">
        <v>0.1869049579970351</v>
      </c>
      <c r="E21" s="137">
        <v>0.26700708285290731</v>
      </c>
      <c r="F21" s="85">
        <v>9259.5824411134909</v>
      </c>
    </row>
    <row r="22" spans="1:9" ht="22" customHeight="1" x14ac:dyDescent="0.2">
      <c r="A22" s="54" t="s">
        <v>240</v>
      </c>
      <c r="B22" s="41">
        <v>5212</v>
      </c>
      <c r="C22" s="150">
        <v>0.1143514965464313</v>
      </c>
      <c r="D22" s="145">
        <v>0.20011511895625481</v>
      </c>
      <c r="E22" s="151">
        <v>0.28587874136607833</v>
      </c>
      <c r="F22" s="148">
        <v>9594.8867996930167</v>
      </c>
      <c r="H22" s="171" t="s">
        <v>241</v>
      </c>
      <c r="I22" s="172"/>
    </row>
    <row r="23" spans="1:9" ht="17" customHeight="1" x14ac:dyDescent="0.2">
      <c r="H23" s="62" t="s">
        <v>242</v>
      </c>
      <c r="I23" s="63">
        <v>0.4</v>
      </c>
    </row>
    <row r="24" spans="1:9" ht="17" customHeight="1" x14ac:dyDescent="0.2">
      <c r="A24" s="168" t="s">
        <v>243</v>
      </c>
      <c r="B24" s="169"/>
      <c r="C24" s="169"/>
      <c r="D24" s="169"/>
      <c r="E24" s="169"/>
      <c r="F24" s="170"/>
      <c r="H24" s="64" t="s">
        <v>244</v>
      </c>
      <c r="I24" s="65">
        <v>0.7</v>
      </c>
    </row>
    <row r="25" spans="1:9" ht="17" customHeight="1" x14ac:dyDescent="0.2">
      <c r="A25" s="13" t="s">
        <v>245</v>
      </c>
      <c r="B25" s="14" t="s">
        <v>246</v>
      </c>
      <c r="C25" s="196" t="s">
        <v>247</v>
      </c>
      <c r="D25" s="179"/>
      <c r="E25" s="179"/>
      <c r="F25" s="198"/>
      <c r="H25" s="62" t="s">
        <v>248</v>
      </c>
      <c r="I25" s="63">
        <v>1</v>
      </c>
    </row>
    <row r="26" spans="1:9" ht="17" customHeight="1" x14ac:dyDescent="0.2">
      <c r="A26" s="15" t="s">
        <v>249</v>
      </c>
      <c r="B26" s="107">
        <v>0.4</v>
      </c>
      <c r="C26" s="197" t="s">
        <v>250</v>
      </c>
      <c r="D26" s="185"/>
      <c r="E26" s="185"/>
      <c r="F26" s="186"/>
      <c r="H26" s="64" t="s">
        <v>251</v>
      </c>
      <c r="I26" s="104">
        <v>9.9599999999999994E-2</v>
      </c>
    </row>
    <row r="27" spans="1:9" ht="17" customHeight="1" x14ac:dyDescent="0.2">
      <c r="A27" s="17" t="s">
        <v>252</v>
      </c>
      <c r="B27" s="107">
        <v>0.7</v>
      </c>
      <c r="C27" s="187" t="s">
        <v>253</v>
      </c>
      <c r="D27" s="188"/>
      <c r="E27" s="188"/>
      <c r="F27" s="189"/>
      <c r="H27" s="62" t="s">
        <v>254</v>
      </c>
      <c r="I27" s="70">
        <v>0.59050000000000002</v>
      </c>
    </row>
    <row r="28" spans="1:9" ht="17" customHeight="1" x14ac:dyDescent="0.2">
      <c r="A28" s="22" t="s">
        <v>255</v>
      </c>
      <c r="B28" s="152">
        <v>1</v>
      </c>
      <c r="C28" s="193" t="s">
        <v>256</v>
      </c>
      <c r="D28" s="194"/>
      <c r="E28" s="194"/>
      <c r="F28" s="195"/>
      <c r="H28" s="64" t="s">
        <v>257</v>
      </c>
      <c r="I28" s="104">
        <v>0.98440000000000005</v>
      </c>
    </row>
    <row r="29" spans="1:9" ht="17" customHeight="1" x14ac:dyDescent="0.2">
      <c r="H29" s="62" t="s">
        <v>258</v>
      </c>
      <c r="I29" s="66" t="s">
        <v>259</v>
      </c>
    </row>
    <row r="30" spans="1:9" ht="17" customHeight="1" x14ac:dyDescent="0.2">
      <c r="A30" s="199" t="s">
        <v>260</v>
      </c>
      <c r="B30" s="181"/>
      <c r="C30" s="181"/>
      <c r="D30" s="181"/>
      <c r="E30" s="181"/>
      <c r="F30" s="181"/>
      <c r="H30" s="64" t="s">
        <v>261</v>
      </c>
      <c r="I30" s="67" t="s">
        <v>262</v>
      </c>
    </row>
    <row r="31" spans="1:9" ht="17" customHeight="1" x14ac:dyDescent="0.2">
      <c r="H31" s="71" t="s">
        <v>263</v>
      </c>
      <c r="I31" s="153" t="s">
        <v>264</v>
      </c>
    </row>
    <row r="33" spans="1:4" ht="1" customHeight="1" x14ac:dyDescent="0.2">
      <c r="A33" t="s">
        <v>48</v>
      </c>
      <c r="B33" t="s">
        <v>265</v>
      </c>
      <c r="C33" t="s">
        <v>266</v>
      </c>
      <c r="D33" t="s">
        <v>267</v>
      </c>
    </row>
    <row r="34" spans="1:4" ht="1" customHeight="1" x14ac:dyDescent="0.2">
      <c r="A34" t="s">
        <v>227</v>
      </c>
      <c r="B34">
        <v>3.9825554421453101E-2</v>
      </c>
      <c r="C34">
        <v>6.9694720237542918E-2</v>
      </c>
      <c r="D34">
        <v>9.9563886053632741E-2</v>
      </c>
    </row>
    <row r="35" spans="1:4" ht="1" customHeight="1" x14ac:dyDescent="0.2">
      <c r="A35" t="s">
        <v>228</v>
      </c>
      <c r="B35">
        <v>6.5103817816476894E-2</v>
      </c>
      <c r="C35">
        <v>0.11393168117883461</v>
      </c>
      <c r="D35">
        <v>0.16275954454119221</v>
      </c>
    </row>
    <row r="36" spans="1:4" ht="1" customHeight="1" x14ac:dyDescent="0.2">
      <c r="A36" t="s">
        <v>229</v>
      </c>
      <c r="B36">
        <v>8.2935893465469201E-2</v>
      </c>
      <c r="C36">
        <v>0.14513781356457109</v>
      </c>
      <c r="D36">
        <v>0.207339733663673</v>
      </c>
    </row>
    <row r="37" spans="1:4" ht="1" customHeight="1" x14ac:dyDescent="0.2">
      <c r="A37" t="s">
        <v>230</v>
      </c>
      <c r="B37">
        <v>0.23618312189740759</v>
      </c>
      <c r="C37">
        <v>0.41332046332046329</v>
      </c>
      <c r="D37">
        <v>0.59045780474351905</v>
      </c>
    </row>
    <row r="38" spans="1:4" ht="1" customHeight="1" x14ac:dyDescent="0.2">
      <c r="A38" t="s">
        <v>231</v>
      </c>
      <c r="B38">
        <v>0.25767634854771793</v>
      </c>
      <c r="C38">
        <v>0.45093360995850618</v>
      </c>
      <c r="D38">
        <v>0.64419087136929465</v>
      </c>
    </row>
    <row r="39" spans="1:4" ht="1" customHeight="1" x14ac:dyDescent="0.2">
      <c r="A39" t="s">
        <v>232</v>
      </c>
      <c r="B39">
        <v>0.28215767634854783</v>
      </c>
      <c r="C39">
        <v>0.49377593360995847</v>
      </c>
      <c r="D39">
        <v>0.70539419087136934</v>
      </c>
    </row>
    <row r="40" spans="1:4" ht="1" customHeight="1" x14ac:dyDescent="0.2">
      <c r="A40" t="s">
        <v>233</v>
      </c>
      <c r="B40">
        <v>0.39374999999999999</v>
      </c>
      <c r="C40">
        <v>0.68906249999999991</v>
      </c>
      <c r="D40">
        <v>0.984375</v>
      </c>
    </row>
  </sheetData>
  <mergeCells count="12">
    <mergeCell ref="A2:F2"/>
    <mergeCell ref="A1:F1"/>
    <mergeCell ref="A5:F5"/>
    <mergeCell ref="C26:F26"/>
    <mergeCell ref="C27:F27"/>
    <mergeCell ref="C25:F25"/>
    <mergeCell ref="H22:I22"/>
    <mergeCell ref="A3:F3"/>
    <mergeCell ref="A30:F30"/>
    <mergeCell ref="A15:F15"/>
    <mergeCell ref="C28:F28"/>
    <mergeCell ref="A24:F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Portfolio Summary</vt:lpstr>
      <vt:lpstr>Borrower Profile</vt:lpstr>
      <vt:lpstr>Risk Distribution</vt:lpstr>
      <vt:lpstr>Stress Testing</vt:lpstr>
      <vt:lpstr>Vintage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rhea0910@student.ubc.ca</cp:lastModifiedBy>
  <dcterms:created xsi:type="dcterms:W3CDTF">2026-04-14T05:26:47Z</dcterms:created>
  <dcterms:modified xsi:type="dcterms:W3CDTF">2026-04-17T02:04:31Z</dcterms:modified>
</cp:coreProperties>
</file>