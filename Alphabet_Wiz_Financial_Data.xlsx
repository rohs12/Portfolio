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1. Alphabet P&amp;L" sheetId="2" state="visible" r:id="rId4"/>
    <sheet name="2. Alphabet Balance" sheetId="3" state="visible" r:id="rId5"/>
    <sheet name="3. Alphabet Cash Flow" sheetId="4" state="visible" r:id="rId6"/>
    <sheet name="4. Alphabet Segments" sheetId="5" state="visible" r:id="rId7"/>
    <sheet name="5. Wiz Funding" sheetId="6" state="visible" r:id="rId8"/>
    <sheet name="6. Wiz ARR Growth" sheetId="7" state="visible" r:id="rId9"/>
    <sheet name="7. Deal Terms" sheetId="8" state="visible" r:id="rId10"/>
    <sheet name="8. Comps" sheetId="9" state="visible" r:id="rId11"/>
    <sheet name="9. Key Rati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<sst xmlns="http://schemas.openxmlformats.org/spreadsheetml/2006/main" count="548" uniqueCount="372">
  <si>
    <t xml:space="preserve">ALPHABET × WIZ — ACQUISITION FINANCIAL DATA PACK</t>
  </si>
  <si>
    <t xml:space="preserve">Raw, unsolved financial inputs for your own case study model. All figures in $M unless noted. Blue = input data.</t>
  </si>
  <si>
    <t xml:space="preserve">Tab</t>
  </si>
  <si>
    <t xml:space="preserve">Description</t>
  </si>
  <si>
    <t xml:space="preserve">1. Alphabet P&amp;L</t>
  </si>
  <si>
    <t xml:space="preserve">Income statement 2020–2024 (consolidated + by segment)</t>
  </si>
  <si>
    <t xml:space="preserve">2. Alphabet Balance</t>
  </si>
  <si>
    <t xml:space="preserve">Balance sheet 2020–2024</t>
  </si>
  <si>
    <t xml:space="preserve">3. Alphabet Cash Flow</t>
  </si>
  <si>
    <t xml:space="preserve">Operating / investing / financing cash flows</t>
  </si>
  <si>
    <t xml:space="preserve">4. Alphabet Segments</t>
  </si>
  <si>
    <t xml:space="preserve">Revenue &amp; op. income by Google segment</t>
  </si>
  <si>
    <t xml:space="preserve">5. Wiz Funding</t>
  </si>
  <si>
    <t xml:space="preserve">All funding rounds, valuations, breakup fee, deal structure</t>
  </si>
  <si>
    <t xml:space="preserve">6. Wiz ARR Growth</t>
  </si>
  <si>
    <t xml:space="preserve">ARR milestones, headcount, Fortune 100 share timeline</t>
  </si>
  <si>
    <t xml:space="preserve">7. Deal Terms</t>
  </si>
  <si>
    <t xml:space="preserve">Transaction terms, regulatory timeline, strategic context</t>
  </si>
  <si>
    <t xml:space="preserve">8. Comps</t>
  </si>
  <si>
    <t xml:space="preserve">Public trading comps + M&amp;A transaction comps (cybersecurity)</t>
  </si>
  <si>
    <t xml:space="preserve">9. Key Ratios</t>
  </si>
  <si>
    <t xml:space="preserve">Pre-populated ratio table — profitability, growth, leverage, valuation</t>
  </si>
  <si>
    <t xml:space="preserve">ALPHABET INC. — CONSOLIDATED INCOME STATEMENT ($M)</t>
  </si>
  <si>
    <t xml:space="preserve">Line Item ($M)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</si>
  <si>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</si>
  <si>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</si>
  <si>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</si>
  <si>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</si>
  <si>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</si>
  <si>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Source</t>
  </si>
  <si>
    <t xml:space="preserve">REVENUE</t>
  </si>
  <si>
    <t xml:space="preserve">  Google Search &amp; Other</t>
  </si>
  <si>
    <t xml:space="preserve">Alphabet 10-K / 8-K FY2020–FY2024; SEC EDGAR</t>
  </si>
  <si>
    <t xml:space="preserve">  YouTube Ads</t>
  </si>
  <si>
    <t xml:space="preserve">  Google Network</t>
  </si>
  <si>
    <t xml:space="preserve">  Google Subscriptions &amp; Devs</t>
  </si>
  <si>
    <t xml:space="preserve">  Google Cloud</t>
  </si>
  <si>
    <t xml:space="preserve">  Other Bets</t>
  </si>
  <si>
    <t xml:space="preserve">  Hedging Gains (Losses)</t>
  </si>
  <si>
    <t xml:space="preserve">TOTAL REVENUE</t>
  </si>
  <si>
    <t xml:space="preserve">COSTS &amp; EXPENSES</t>
  </si>
  <si>
    <t xml:space="preserve">  Cost of Revenue</t>
  </si>
  <si>
    <t xml:space="preserve">  Research &amp; Development</t>
  </si>
  <si>
    <t xml:space="preserve">  Sales &amp; Marketing</t>
  </si>
  <si>
    <t xml:space="preserve">  General &amp; Administrative</t>
  </si>
  <si>
    <t xml:space="preserve">TOTAL COSTS &amp; EXPENSES</t>
  </si>
  <si>
    <t xml:space="preserve">OPERATING INCOME</t>
  </si>
  <si>
    <t xml:space="preserve">  Operating Margin %</t>
  </si>
  <si>
    <t xml:space="preserve">OTHER INCOME (EXPENSE), NET</t>
  </si>
  <si>
    <t xml:space="preserve">INCOME BEFORE TAXES</t>
  </si>
  <si>
    <t xml:space="preserve">  Income Tax Provision</t>
  </si>
  <si>
    <t xml:space="preserve">  Effective Tax Rate %</t>
  </si>
  <si>
    <t xml:space="preserve">NET INCOME</t>
  </si>
  <si>
    <t xml:space="preserve">  Net Margin %</t>
  </si>
  <si>
    <t xml:space="preserve">PER SHARE DATA</t>
  </si>
  <si>
    <t xml:space="preserve">  Diluted EPS ($)</t>
  </si>
  <si>
    <t xml:space="preserve">  Diluted Shares Outstanding (M)</t>
  </si>
  <si>
    <t xml:space="preserve">  Annual Dividend Per Share ($)</t>
  </si>
  <si>
    <t xml:space="preserve">ALPHABET INC. — CONSOLIDATED BALANCE SHEET ($M)</t>
  </si>
  <si>
    <t xml:space="preserve">ASSETS</t>
  </si>
  <si>
    <t xml:space="preserve">  Cash &amp; Equivalents</t>
  </si>
  <si>
    <t xml:space="preserve">Alphabet 10-K FY2020–FY2024; SEC EDGAR / Yahoo Finance</t>
  </si>
  <si>
    <t xml:space="preserve">  Marketable Securities (Current)</t>
  </si>
  <si>
    <t xml:space="preserve">  Total Cash + Mkt Securities</t>
  </si>
  <si>
    <t xml:space="preserve">  Accounts Receivable, net</t>
  </si>
  <si>
    <t xml:space="preserve">  Other Current Assets</t>
  </si>
  <si>
    <t xml:space="preserve">  TOTAL CURRENT ASSETS</t>
  </si>
  <si>
    <t xml:space="preserve">  Non-Marketable Securities</t>
  </si>
  <si>
    <t xml:space="preserve">  Deferred Income Taxes</t>
  </si>
  <si>
    <t xml:space="preserve">  Property &amp; Equipment, net</t>
  </si>
  <si>
    <t xml:space="preserve">  Operating Lease Assets</t>
  </si>
  <si>
    <t xml:space="preserve">  Goodwill</t>
  </si>
  <si>
    <t xml:space="preserve">  Intangible Assets, net</t>
  </si>
  <si>
    <t xml:space="preserve">  Other Non-Current Assets</t>
  </si>
  <si>
    <t xml:space="preserve">TOTAL ASSETS</t>
  </si>
  <si>
    <t xml:space="preserve">LIABILITIES</t>
  </si>
  <si>
    <t xml:space="preserve">  Accounts Payable</t>
  </si>
  <si>
    <t xml:space="preserve">  Accrued Expenses &amp; Other</t>
  </si>
  <si>
    <t xml:space="preserve">  Deferred Revenue (Current)</t>
  </si>
  <si>
    <t xml:space="preserve">  TOTAL CURRENT LIABILITIES</t>
  </si>
  <si>
    <t xml:space="preserve">  Long-Term Debt</t>
  </si>
  <si>
    <t xml:space="preserve">  Operating Lease Liabilities (LT)</t>
  </si>
  <si>
    <t xml:space="preserve">  Other Long-Term Liabilities</t>
  </si>
  <si>
    <t xml:space="preserve">TOTAL LIABILITIES</t>
  </si>
  <si>
    <t xml:space="preserve">SHAREHOLDERS EQUITY</t>
  </si>
  <si>
    <t xml:space="preserve">  Common Stock &amp; APIC</t>
  </si>
  <si>
    <t xml:space="preserve">  Retained Earnings</t>
  </si>
  <si>
    <t xml:space="preserve">  Accumulated OCI</t>
  </si>
  <si>
    <t xml:space="preserve">TOTAL SHAREHOLDERS EQUITY</t>
  </si>
  <si>
    <t xml:space="preserve">TOTAL LIABILITIES &amp; EQUITY</t>
  </si>
  <si>
    <t xml:space="preserve">ALPHABET INC. — CASH FLOW STATEMENT ($M)</t>
  </si>
  <si>
    <t xml:space="preserve">OPERATING ACTIVITIES</t>
  </si>
  <si>
    <t xml:space="preserve">  Net Income</t>
  </si>
  <si>
    <t xml:space="preserve">Alphabet 10-K FY2020–FY2024; SEC EDGAR</t>
  </si>
  <si>
    <t xml:space="preserve">  Depreciation &amp; Amortization</t>
  </si>
  <si>
    <t xml:space="preserve">  Stock-Based Compensation</t>
  </si>
  <si>
    <t xml:space="preserve">  Working Capital &amp; Other</t>
  </si>
  <si>
    <t xml:space="preserve">NET OPERATING CASH FLOW</t>
  </si>
  <si>
    <t xml:space="preserve">INVESTING ACTIVITIES</t>
  </si>
  <si>
    <t xml:space="preserve">  Capital Expenditures</t>
  </si>
  <si>
    <t xml:space="preserve">  Purchases of Mkt Securities</t>
  </si>
  <si>
    <t xml:space="preserve">  Sales/Maturities of Mkt Sec.</t>
  </si>
  <si>
    <t xml:space="preserve">  Acquisitions, net of cash</t>
  </si>
  <si>
    <t xml:space="preserve">  Other Investing Activities</t>
  </si>
  <si>
    <t xml:space="preserve">NET INVESTING CASH FLOW</t>
  </si>
  <si>
    <t xml:space="preserve">FINANCING ACTIVITIES</t>
  </si>
  <si>
    <t xml:space="preserve">  Share Repurchases</t>
  </si>
  <si>
    <t xml:space="preserve">  Repayment of Debt</t>
  </si>
  <si>
    <t xml:space="preserve">  Dividends Paid</t>
  </si>
  <si>
    <t xml:space="preserve">  Other Financing Activities</t>
  </si>
  <si>
    <t xml:space="preserve">NET FINANCING CASH FLOW</t>
  </si>
  <si>
    <t xml:space="preserve">NET CHANGE IN CASH</t>
  </si>
  <si>
    <t xml:space="preserve">FREE CASH FLOW</t>
  </si>
  <si>
    <t xml:space="preserve">  FCF Margin %</t>
  </si>
  <si>
    <t xml:space="preserve">  CapEx as % of Revenue</t>
  </si>
  <si>
    <t xml:space="preserve">  Share Buybacks ($M)</t>
  </si>
  <si>
    <t xml:space="preserve">ALPHABET — REVENUE &amp; OPERATING INCOME BY SEGMENT ($M)</t>
  </si>
  <si>
    <t xml:space="preserve">Segment ($M)</t>
  </si>
  <si>
    <t xml:space="preserve">  Google Services Revenue</t>
  </si>
  <si>
    <t xml:space="preserve">Alphabet 8-K Q4 press releases FY2020–FY2024; SEC EDGAR</t>
  </si>
  <si>
    <t xml:space="preserve">  Google Cloud Revenue</t>
  </si>
  <si>
    <t xml:space="preserve">  Other Bets Revenue</t>
  </si>
  <si>
    <t xml:space="preserve">  Hedging / Corp Other</t>
  </si>
  <si>
    <t xml:space="preserve">  TOTAL REVENUE</t>
  </si>
  <si>
    <t xml:space="preserve">  Google Cloud YoY Growth %</t>
  </si>
  <si>
    <t xml:space="preserve">  Google Services Op. Income</t>
  </si>
  <si>
    <t xml:space="preserve">  Google Services Op. Margin %</t>
  </si>
  <si>
    <t xml:space="preserve">  Google Cloud Op. Income</t>
  </si>
  <si>
    <t xml:space="preserve">  Google Cloud Op. Margin %</t>
  </si>
  <si>
    <t xml:space="preserve">  Other Bets Op. Income</t>
  </si>
  <si>
    <t xml:space="preserve">  Corporate Unallocated</t>
  </si>
  <si>
    <t xml:space="preserve">  TOTAL OPERATING INCOME</t>
  </si>
  <si>
    <t xml:space="preserve">GOOGLE CLOUD DETAIL</t>
  </si>
  <si>
    <t xml:space="preserve">  Google Cloud Revenue ($M)</t>
  </si>
  <si>
    <t xml:space="preserve">  Cloud as % of Total Revenue</t>
  </si>
  <si>
    <t xml:space="preserve">  Cloud Revenue CAGR (4yr)</t>
  </si>
  <si>
    <t xml:space="preserve">WIZ INC. — FUNDING ROUNDS, VALUATION &amp; DEAL STRUCTURE</t>
  </si>
  <si>
    <t xml:space="preserve">Round</t>
  </si>
  <si>
    <t xml:space="preserve">Date</t>
  </si>
  <si>
    <t xml:space="preserve">Amount ($M)</t>
  </si>
  <si>
    <t xml:space="preserve">Post-Money Val ($M)</t>
  </si>
  <si>
    <t xml:space="preserve">EV/ARR (x)</t>
  </si>
  <si>
    <t xml:space="preserve">Lead Investors</t>
  </si>
  <si>
    <t xml:space="preserve">Milestone / Notes</t>
  </si>
  <si>
    <t xml:space="preserve">Series A</t>
  </si>
  <si>
    <t xml:space="preserve">Dec 2020</t>
  </si>
  <si>
    <t xml:space="preserve">Index, Sequoia, Insight, Cyberstarts</t>
  </si>
  <si>
    <t xml:space="preserve">Emerged from stealth; first product launch</t>
  </si>
  <si>
    <t xml:space="preserve">Wikipedia / Wiz Blog</t>
  </si>
  <si>
    <t xml:space="preserve">Series B (1)</t>
  </si>
  <si>
    <t xml:space="preserve">Apr 2021</t>
  </si>
  <si>
    <t xml:space="preserve">Greenoaks, Index, Sequoia, Insight</t>
  </si>
  <si>
    <t xml:space="preserve">Rapid early enterprise traction</t>
  </si>
  <si>
    <t xml:space="preserve">Wikipedia</t>
  </si>
  <si>
    <t xml:space="preserve">Series B (2)</t>
  </si>
  <si>
    <t xml:space="preserve">May 2021</t>
  </si>
  <si>
    <t xml:space="preserve">Extended B round; $1.7B post-money</t>
  </si>
  <si>
    <t xml:space="preserve">Series C</t>
  </si>
  <si>
    <t xml:space="preserve">Oct 2021</t>
  </si>
  <si>
    <t xml:space="preserve">Greenoaks, Insight, Sequoia, Salesforce</t>
  </si>
  <si>
    <t xml:space="preserve">Fastest SaaS to $100M ARR (18 months); 25% Fortune 100</t>
  </si>
  <si>
    <t xml:space="preserve">Wikipedia / Contrary Research</t>
  </si>
  <si>
    <t xml:space="preserve">Secondary</t>
  </si>
  <si>
    <t xml:space="preserve">Various</t>
  </si>
  <si>
    <t xml:space="preserve">Partial secondary liquidity for early investors</t>
  </si>
  <si>
    <t xml:space="preserve">TexAu / Pitchbook</t>
  </si>
  <si>
    <t xml:space="preserve">Series D</t>
  </si>
  <si>
    <t xml:space="preserve">Feb 2023</t>
  </si>
  <si>
    <t xml:space="preserve">Greenoaks (lead), Lightspeed</t>
  </si>
  <si>
    <t xml:space="preserve">$350M ARR (annlzd); 35% Fortune 100; targeting IPO</t>
  </si>
  <si>
    <t xml:space="preserve">Wikipedia / TechCrunch</t>
  </si>
  <si>
    <t xml:space="preserve">Series E</t>
  </si>
  <si>
    <t xml:space="preserve">May 2024</t>
  </si>
  <si>
    <t xml:space="preserve">a16z, Lightspeed, Thrive (co-leads)</t>
  </si>
  <si>
    <t xml:space="preserve">$500M ARR est.; 40% Fortune 100; IPO pivot target $1B ARR</t>
  </si>
  <si>
    <t xml:space="preserve">TechCrunch / Crunchbase</t>
  </si>
  <si>
    <t xml:space="preserve">ACQUISITION</t>
  </si>
  <si>
    <t xml:space="preserve">Ann: 18 Mar 2025 / Close: 11 Mar 2026</t>
  </si>
  <si>
    <t xml:space="preserve">Alphabet Inc. (Google)</t>
  </si>
  <si>
    <t xml:space="preserve">Largest cybersecurity acq ever; Google's largest deal ever; DOJ cleared Mar 2025; EC cleared no conditions</t>
  </si>
  <si>
    <t xml:space="preserve">Wikipedia / SEC</t>
  </si>
  <si>
    <t xml:space="preserve">Total Funding Raised ($M):</t>
  </si>
  <si>
    <t xml:space="preserve">Acquisition premium over last round val:</t>
  </si>
  <si>
    <t xml:space="preserve">Note: Wiz rejected initial $23B Google offer in mid-2024 to pursue IPO. Deal was revived due to IPO market weakness and new Trump-era M&amp;A-friendly regulatory environment.</t>
  </si>
  <si>
    <t xml:space="preserve">WIZ INC. — ARR MILESTONES, HEADCOUNT &amp; MARKET PENETRATION</t>
  </si>
  <si>
    <t xml:space="preserve">Period</t>
  </si>
  <si>
    <t xml:space="preserve">ARR ($M)</t>
  </si>
  <si>
    <t xml:space="preserve">YoY Growth %</t>
  </si>
  <si>
    <t xml:space="preserve">Headcount (est.)</t>
  </si>
  <si>
    <t xml:space="preserve">Fortune 100 Share</t>
  </si>
  <si>
    <t xml:space="preserve">Source / Notes</t>
  </si>
  <si>
    <t xml:space="preserve">Jan 2020</t>
  </si>
  <si>
    <t xml:space="preserve">Founded — 4 co-founders; pre-revenue</t>
  </si>
  <si>
    <t xml:space="preserve">Feb 2021</t>
  </si>
  <si>
    <t xml:space="preserve">First revenue; product launched publicly</t>
  </si>
  <si>
    <t xml:space="preserve">Jul 2022</t>
  </si>
  <si>
    <t xml:space="preserve">Fastest SaaS ever to $100M ARR (18 months)</t>
  </si>
  <si>
    <t xml:space="preserve">Oct 2022</t>
  </si>
  <si>
    <t xml:space="preserve">30% of Fortune 100 customers</t>
  </si>
  <si>
    <t xml:space="preserve">May 2023</t>
  </si>
  <si>
    <t xml:space="preserve">Post Series D growth ramp</t>
  </si>
  <si>
    <t xml:space="preserve">Feb 2024</t>
  </si>
  <si>
    <t xml:space="preserve">Announced milestone; hiring former Zscaler COO Dali Rajic</t>
  </si>
  <si>
    <t xml:space="preserve">Series E basis; est. run-rate ~$500M</t>
  </si>
  <si>
    <t xml:space="preserve">Nov 2024</t>
  </si>
  <si>
    <t xml:space="preserve">Last disclosed headcount (Wikipedia)</t>
  </si>
  <si>
    <t xml:space="preserve">Mar 2026</t>
  </si>
  <si>
    <t xml:space="preserve">Acquisition closed by Alphabet</t>
  </si>
  <si>
    <t xml:space="preserve">ALPHABET × WIZ — DEAL TERMS, STRUCTURE &amp; REGULATORY TIMELINE</t>
  </si>
  <si>
    <t xml:space="preserve">Parameter</t>
  </si>
  <si>
    <t xml:space="preserve">Value / Detail</t>
  </si>
  <si>
    <t xml:space="preserve">TRANSACTION OVERVIEW</t>
  </si>
  <si>
    <t xml:space="preserve">Acquirer</t>
  </si>
  <si>
    <t xml:space="preserve">Alphabet Inc. (GOOGL / GOOG)</t>
  </si>
  <si>
    <t xml:space="preserve">Target</t>
  </si>
  <si>
    <t xml:space="preserve">Wiz Inc. (private)</t>
  </si>
  <si>
    <t xml:space="preserve">Deal Type</t>
  </si>
  <si>
    <t xml:space="preserve">All-cash acquisition</t>
  </si>
  <si>
    <t xml:space="preserve">Announced</t>
  </si>
  <si>
    <t xml:space="preserve">March 18, 2025</t>
  </si>
  <si>
    <t xml:space="preserve">Closed</t>
  </si>
  <si>
    <t xml:space="preserve">March 11, 2026</t>
  </si>
  <si>
    <t xml:space="preserve">Enterprise Value ($M)</t>
  </si>
  <si>
    <t xml:space="preserve">Alphabet / SEC</t>
  </si>
  <si>
    <t xml:space="preserve">Equity Value ($M)</t>
  </si>
  <si>
    <t xml:space="preserve">All-cash; no debt disclosed</t>
  </si>
  <si>
    <t xml:space="preserve">DEAL MULTIPLES — FILL THESE IN</t>
  </si>
  <si>
    <t xml:space="preserve">Wiz ARR at close est. ($M)</t>
  </si>
  <si>
    <t xml:space="preserve">← INPUT REQUIRED</t>
  </si>
  <si>
    <t xml:space="preserve">Est. range $500–700M — input your assumption</t>
  </si>
  <si>
    <t xml:space="preserve">Price / ARR Multiple (x)</t>
  </si>
  <si>
    <t xml:space="preserve">Compute: 32,000 / ARR estimate — input your own assumption</t>
  </si>
  <si>
    <t xml:space="preserve">Last Private Val ($M) — Series E</t>
  </si>
  <si>
    <t xml:space="preserve">May 2024 funding round</t>
  </si>
  <si>
    <t xml:space="preserve">Acquisition Premium over last val</t>
  </si>
  <si>
    <t xml:space="preserve">Compute: 32000 / 12000 = 2.67x — fill in your model</t>
  </si>
  <si>
    <t xml:space="preserve">Alphabet Cash+Mkt Sec (YE2024 $M)</t>
  </si>
  <si>
    <t xml:space="preserve">Alphabet 10-K 2024</t>
  </si>
  <si>
    <t xml:space="preserve">Deal as % of Alphabet Cash</t>
  </si>
  <si>
    <t xml:space="preserve">Compute: 32000 / 110174 = 29.1% — fill in your model</t>
  </si>
  <si>
    <t xml:space="preserve">Deal as % of Alphabet Mkt Cap</t>
  </si>
  <si>
    <t xml:space="preserve">Fill in market cap at deal date</t>
  </si>
  <si>
    <t xml:space="preserve">STRUCTURE &amp; TERMS</t>
  </si>
  <si>
    <t xml:space="preserve">Payment Form</t>
  </si>
  <si>
    <t xml:space="preserve">All cash</t>
  </si>
  <si>
    <t xml:space="preserve">Breakup Fee ($M)</t>
  </si>
  <si>
    <t xml:space="preserve">~$3.2B — one of the largest in tech history</t>
  </si>
  <si>
    <t xml:space="preserve">Reverse Breakup Fee</t>
  </si>
  <si>
    <t xml:space="preserve">Not disclosed publicly</t>
  </si>
  <si>
    <t xml:space="preserve">Shareholder Approval</t>
  </si>
  <si>
    <t xml:space="preserve">Not required (Wiz is private)</t>
  </si>
  <si>
    <t xml:space="preserve">Post-close integration</t>
  </si>
  <si>
    <t xml:space="preserve">Wiz joins Google Cloud as standalone unit</t>
  </si>
  <si>
    <t xml:space="preserve">REGULATORY</t>
  </si>
  <si>
    <t xml:space="preserve">DOJ (US)</t>
  </si>
  <si>
    <t xml:space="preserve">Cleared March 2025 (no conditions)</t>
  </si>
  <si>
    <t xml:space="preserve">U.S. Dept. of Justice</t>
  </si>
  <si>
    <t xml:space="preserve">EC (Europe)</t>
  </si>
  <si>
    <t xml:space="preserve">Cleared — no conditions required</t>
  </si>
  <si>
    <t xml:space="preserve">European Commission</t>
  </si>
  <si>
    <t xml:space="preserve">Other jurisdictions</t>
  </si>
  <si>
    <t xml:space="preserve">Additional approvals 2025–2026</t>
  </si>
  <si>
    <t xml:space="preserve">STRATEGIC CONTEXT</t>
  </si>
  <si>
    <t xml:space="preserve">Initial offer (rejected)</t>
  </si>
  <si>
    <t xml:space="preserve">$23B offer mid-2024 declined by Wiz</t>
  </si>
  <si>
    <t xml:space="preserve">Wiz chose to pursue IPO</t>
  </si>
  <si>
    <t xml:space="preserve">Why deal revived</t>
  </si>
  <si>
    <t xml:space="preserve">IPO market weakness + Trump M&amp;A-friendly regulatory backdrop</t>
  </si>
  <si>
    <t xml:space="preserve">Prior Alphabet cyber deal</t>
  </si>
  <si>
    <t xml:space="preserve">Mandiant — $5.4B (2022)</t>
  </si>
  <si>
    <t xml:space="preserve">For M&amp;A comp reference</t>
  </si>
  <si>
    <t xml:space="preserve">Alphabet's largest prior deal</t>
  </si>
  <si>
    <t xml:space="preserve">Motorola Mobility — $12.5B (2012)</t>
  </si>
  <si>
    <t xml:space="preserve">Historical context</t>
  </si>
  <si>
    <t xml:space="preserve">Record context</t>
  </si>
  <si>
    <t xml:space="preserve">Largest cybersecurity acquisition ever; Alphabet's largest acquisition ever</t>
  </si>
  <si>
    <t xml:space="preserve">Wiz Fortune 100 share</t>
  </si>
  <si>
    <t xml:space="preserve">~45% of Fortune 100 as customers (est. at close)</t>
  </si>
  <si>
    <t xml:space="preserve">Contrary Research / Wiz Blog</t>
  </si>
  <si>
    <t xml:space="preserve">CYBERSECURITY TRADING COMPS &amp; M&amp;A TRANSACTION COMPS</t>
  </si>
  <si>
    <t xml:space="preserve">PUBLIC TRADING COMPS (Cybersecurity — approx. FY2024 data)</t>
  </si>
  <si>
    <t xml:space="preserve">Company</t>
  </si>
  <si>
    <t xml:space="preserve">Rev ($M)</t>
  </si>
  <si>
    <t xml:space="preserve">Rev Growth %</t>
  </si>
  <si>
    <t xml:space="preserve">Op Margin %</t>
  </si>
  <si>
    <t xml:space="preserve">EV ($M)</t>
  </si>
  <si>
    <t xml:space="preserve">EV/Rev (x)</t>
  </si>
  <si>
    <t xml:space="preserve">NTM EV/Rev (x)</t>
  </si>
  <si>
    <t xml:space="preserve">Palo Alto Networks</t>
  </si>
  <si>
    <t xml:space="preserve">Public filings / Bloomberg</t>
  </si>
  <si>
    <t xml:space="preserve">CrowdStrike</t>
  </si>
  <si>
    <t xml:space="preserve">Zscaler</t>
  </si>
  <si>
    <t xml:space="preserve">Fortinet</t>
  </si>
  <si>
    <t xml:space="preserve">SentinelOne</t>
  </si>
  <si>
    <t xml:space="preserve">Cloudflare</t>
  </si>
  <si>
    <t xml:space="preserve">Okta</t>
  </si>
  <si>
    <t xml:space="preserve">WIZ (deal implied)</t>
  </si>
  <si>
    <t xml:space="preserve">Alphabet acquisition Mar 2025</t>
  </si>
  <si>
    <t xml:space="preserve">M&amp;A TRANSACTION COMPS (Cybersecurity + Relevant Tech Acquisitions)</t>
  </si>
  <si>
    <t xml:space="preserve">Deal</t>
  </si>
  <si>
    <t xml:space="preserve">Year</t>
  </si>
  <si>
    <t xml:space="preserve">Notes</t>
  </si>
  <si>
    <t xml:space="preserve">Alphabet × Wiz</t>
  </si>
  <si>
    <t xml:space="preserve">Alphabet</t>
  </si>
  <si>
    <t xml:space="preserve">Wiz</t>
  </si>
  <si>
    <t xml:space="preserve">~$500M ARR; CNAPP cloud sec; record deal</t>
  </si>
  <si>
    <t xml:space="preserve">PANW × CyberArk</t>
  </si>
  <si>
    <t xml:space="preserve">Palo Alto</t>
  </si>
  <si>
    <t xml:space="preserve">CyberArk</t>
  </si>
  <si>
    <t xml:space="preserve">Identity sec; $1.4B revenue</t>
  </si>
  <si>
    <t xml:space="preserve">Qatalyst fairness opinion</t>
  </si>
  <si>
    <t xml:space="preserve">Cisco × Splunk</t>
  </si>
  <si>
    <t xml:space="preserve">Cisco</t>
  </si>
  <si>
    <t xml:space="preserve">Splunk</t>
  </si>
  <si>
    <t xml:space="preserve">SIEM/analytics; $3.7B revenue</t>
  </si>
  <si>
    <t xml:space="preserve">SEC filing</t>
  </si>
  <si>
    <t xml:space="preserve">Alphabet × Mandiant</t>
  </si>
  <si>
    <t xml:space="preserve">Mandiant</t>
  </si>
  <si>
    <t xml:space="preserve">Threat intel; ~$660M revenue</t>
  </si>
  <si>
    <t xml:space="preserve">Broadcom × Symantec</t>
  </si>
  <si>
    <t xml:space="preserve">Broadcom</t>
  </si>
  <si>
    <t xml:space="preserve">Symantec (Ent)</t>
  </si>
  <si>
    <t xml:space="preserve">Enterprise security portfolio</t>
  </si>
  <si>
    <t xml:space="preserve">PANW × Dig Security</t>
  </si>
  <si>
    <t xml:space="preserve">Dig Security</t>
  </si>
  <si>
    <t xml:space="preserve">Data security startup</t>
  </si>
  <si>
    <t xml:space="preserve">TechCrunch</t>
  </si>
  <si>
    <t xml:space="preserve">Zscaler × Avalor</t>
  </si>
  <si>
    <t xml:space="preserve">Avalor</t>
  </si>
  <si>
    <t xml:space="preserve">Security data fabric; ~2 yrs old</t>
  </si>
  <si>
    <t xml:space="preserve">Press release</t>
  </si>
  <si>
    <t xml:space="preserve">Google × Siemplify</t>
  </si>
  <si>
    <t xml:space="preserve">Google</t>
  </si>
  <si>
    <t xml:space="preserve">Siemplify</t>
  </si>
  <si>
    <t xml:space="preserve">SOAR / security orchestration</t>
  </si>
  <si>
    <t xml:space="preserve">MSFT × RiskIQ</t>
  </si>
  <si>
    <t xml:space="preserve">Microsoft</t>
  </si>
  <si>
    <t xml:space="preserve">RiskIQ</t>
  </si>
  <si>
    <t xml:space="preserve">Threat intelligence / attack surface mgmt</t>
  </si>
  <si>
    <t xml:space="preserve">ALPHABET — KEY FINANCIAL RATIOS (2020–2024, INPUTS ONLY)</t>
  </si>
  <si>
    <t xml:space="preserve">Metric</t>
  </si>
  <si>
    <t xml:space="preserve">PROFITABILITY</t>
  </si>
  <si>
    <t xml:space="preserve">  Gross Margin %</t>
  </si>
  <si>
    <t xml:space="preserve">Derived from Alphabet 10-K FY2020–2024 + Yahoo Finance + MacroTrends</t>
  </si>
  <si>
    <t xml:space="preserve">  EBITDA Margin % (est.)</t>
  </si>
  <si>
    <t xml:space="preserve">  Return on Assets (ROA) %</t>
  </si>
  <si>
    <t xml:space="preserve">  Return on Equity (ROE) %</t>
  </si>
  <si>
    <t xml:space="preserve">GROWTH</t>
  </si>
  <si>
    <t xml:space="preserve">  Revenue YoY Growth %</t>
  </si>
  <si>
    <t xml:space="preserve">  Net Income YoY Growth %</t>
  </si>
  <si>
    <t xml:space="preserve">  Google Cloud Rev Growth %</t>
  </si>
  <si>
    <t xml:space="preserve">  EPS YoY Growth %</t>
  </si>
  <si>
    <t xml:space="preserve">  FCF YoY Growth %</t>
  </si>
  <si>
    <t xml:space="preserve">LIQUIDITY &amp; LEVERAGE</t>
  </si>
  <si>
    <t xml:space="preserve">  Current Ratio (x)</t>
  </si>
  <si>
    <t xml:space="preserve">  Cash &amp; Mkt Sec ($M)</t>
  </si>
  <si>
    <t xml:space="preserve">  Long-Term Debt ($M)</t>
  </si>
  <si>
    <t xml:space="preserve">  Net Debt / EBITDA (x)</t>
  </si>
  <si>
    <t xml:space="preserve">  Debt / Equity (x)</t>
  </si>
  <si>
    <t xml:space="preserve">VALUATION (APPROX. EOY)</t>
  </si>
  <si>
    <t xml:space="preserve">  Market Cap ($M) [EOY]</t>
  </si>
  <si>
    <t xml:space="preserve">  EV ($M) [approx.]</t>
  </si>
  <si>
    <t xml:space="preserve">  P/E Trailing (x)</t>
  </si>
  <si>
    <t xml:space="preserve">  EV / Revenue (x)</t>
  </si>
  <si>
    <t xml:space="preserve">  EV / EBITDA (x)</t>
  </si>
  <si>
    <t xml:space="preserve">  Price / FCF (x)</t>
  </si>
  <si>
    <t xml:space="preserve">EFFICIENCY</t>
  </si>
  <si>
    <t xml:space="preserve">  CapEx / Revenue %</t>
  </si>
  <si>
    <t xml:space="preserve">  R&amp;D / Revenue %</t>
  </si>
  <si>
    <t xml:space="preserve">  SBC / Revenue %</t>
  </si>
  <si>
    <t xml:space="preserve">  Employees (K)</t>
  </si>
  <si>
    <t xml:space="preserve">  Revenue / Employee ($K)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</si>
</sst>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\x"/>
    <numFmt numFmtId="168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D9E1F2"/>
        <bgColor rgb="FFD9EAD3"/>
      </patternFill>
    </fill>
    <fill>
      <patternFill patternType="solid">
        <fgColor rgb="FF243F60"/>
        <bgColor rgb="FF1F3864"/>
      </patternFill>
    </fill>
    <fill>
      <patternFill patternType="solid">
        <fgColor rgb="FFC5D9F1"/>
        <bgColor rgb="FFD9E1F2"/>
      </patternFill>
    </fill>
    <fill>
      <patternFill patternType="solid">
        <fgColor rgb="FF1E5C31"/>
        <bgColor rgb="FF243F60"/>
      </patternFill>
    </fill>
    <fill>
      <patternFill patternType="solid">
        <fgColor rgb="FFD9EAD3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7B1C1C"/>
        <bgColor rgb="FF800000"/>
      </patternFill>
    </fill>
    <fill>
      <patternFill patternType="solid">
        <fgColor rgb="FFF2DCDB"/>
        <bgColor rgb="FFD9E1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C1C"/>
      <rgbColor rgb="FF1E5C3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EAD3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8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5" t="s">
        <v>5</v>
      </c>
    </row>
    <row r="6" customFormat="false" ht="15" hidden="false" customHeight="true" outlineLevel="0" collapsed="false">
      <c r="A6" s="6" t="s">
        <v>6</v>
      </c>
      <c r="B6" s="6" t="s">
        <v>7</v>
      </c>
    </row>
    <row r="7" customFormat="false" ht="15" hidden="false" customHeight="true" outlineLevel="0" collapsed="false">
      <c r="A7" s="5" t="s">
        <v>8</v>
      </c>
      <c r="B7" s="5" t="s">
        <v>9</v>
      </c>
    </row>
    <row r="8" customFormat="false" ht="15" hidden="false" customHeight="true" outlineLevel="0" collapsed="false">
      <c r="A8" s="6" t="s">
        <v>10</v>
      </c>
      <c r="B8" s="6" t="s">
        <v>11</v>
      </c>
    </row>
    <row r="9" customFormat="false" ht="15" hidden="false" customHeight="true" outlineLevel="0" collapsed="false">
      <c r="A9" s="5" t="s">
        <v>12</v>
      </c>
      <c r="B9" s="5" t="s">
        <v>13</v>
      </c>
    </row>
    <row r="10" customFormat="false" ht="15" hidden="false" customHeight="true" outlineLevel="0" collapsed="false">
      <c r="A10" s="6" t="s">
        <v>14</v>
      </c>
      <c r="B10" s="6" t="s">
        <v>15</v>
      </c>
    </row>
    <row r="11" customFormat="false" ht="15" hidden="false" customHeight="true" outlineLevel="0" collapsed="false">
      <c r="A11" s="5" t="s">
        <v>16</v>
      </c>
      <c r="B11" s="5" t="s">
        <v>17</v>
      </c>
    </row>
    <row r="12" customFormat="false" ht="15" hidden="false" customHeight="true" outlineLevel="0" collapsed="false">
      <c r="A12" s="6" t="s">
        <v>18</v>
      </c>
      <c r="B12" s="6" t="s">
        <v>19</v>
      </c>
    </row>
    <row r="13" customFormat="false" ht="15" hidden="false" customHeight="true" outlineLevel="0" collapsed="false">
      <c r="A13" s="5" t="s">
        <v>20</v>
      </c>
      <c r="B13" s="5" t="s">
        <v>21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7" t="s">
        <v>22</v>
      </c>
      <c r="B1" s="7"/>
      <c r="C1" s="7"/>
      <c r="D1" s="7"/>
      <c r="E1" s="7"/>
      <c r="F1" s="7"/>
      <c r="G1" s="7"/>
    </row>
    <row r="3" customFormat="false" ht="15" hidden="false" customHeight="tru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8" t="s">
        <v>29</v>
      </c>
    </row>
    <row r="4" customFormat="false" ht="15" hidden="false" customHeight="true" outlineLevel="0" collapsed="false">
      <c r="A4" s="9" t="s">
        <v>30</v>
      </c>
    </row>
    <row r="5" customFormat="false" ht="15" hidden="false" customHeight="true" outlineLevel="0" collapsed="false">
      <c r="A5" s="6" t="s">
        <v>31</v>
      </c>
      <c r="B5" s="10" t="n">
        <v>104062</v>
      </c>
      <c r="C5" s="10" t="n">
        <v>148951</v>
      </c>
      <c r="D5" s="10" t="n">
        <v>162450</v>
      </c>
      <c r="E5" s="10" t="n">
        <v>175033</v>
      </c>
      <c r="F5" s="10" t="n">
        <v>198085</v>
      </c>
      <c r="G5" s="11" t="s">
        <v>32</v>
      </c>
    </row>
    <row r="6" customFormat="false" ht="15" hidden="false" customHeight="true" outlineLevel="0" collapsed="false">
      <c r="A6" s="5" t="s">
        <v>33</v>
      </c>
      <c r="B6" s="12" t="n">
        <v>19772</v>
      </c>
      <c r="C6" s="12" t="n">
        <v>28845</v>
      </c>
      <c r="D6" s="12" t="n">
        <v>29243</v>
      </c>
      <c r="E6" s="12" t="n">
        <v>31510</v>
      </c>
      <c r="F6" s="12" t="n">
        <v>36149</v>
      </c>
      <c r="G6" s="11" t="s">
        <v>32</v>
      </c>
    </row>
    <row r="7" customFormat="false" ht="15" hidden="false" customHeight="true" outlineLevel="0" collapsed="false">
      <c r="A7" s="6" t="s">
        <v>34</v>
      </c>
      <c r="B7" s="10" t="n">
        <v>23693</v>
      </c>
      <c r="C7" s="10" t="n">
        <v>31701</v>
      </c>
      <c r="D7" s="10" t="n">
        <v>32780</v>
      </c>
      <c r="E7" s="10" t="n">
        <v>31312</v>
      </c>
      <c r="F7" s="10" t="n">
        <v>30362</v>
      </c>
      <c r="G7" s="11" t="s">
        <v>32</v>
      </c>
    </row>
    <row r="8" customFormat="false" ht="15" hidden="false" customHeight="true" outlineLevel="0" collapsed="false">
      <c r="A8" s="5" t="s">
        <v>35</v>
      </c>
      <c r="B8" s="12" t="n">
        <v>21668</v>
      </c>
      <c r="C8" s="12" t="n">
        <v>28032</v>
      </c>
      <c r="D8" s="12" t="n">
        <v>29055</v>
      </c>
      <c r="E8" s="12" t="n">
        <v>34669</v>
      </c>
      <c r="F8" s="12" t="n">
        <v>40798</v>
      </c>
      <c r="G8" s="11" t="s">
        <v>32</v>
      </c>
    </row>
    <row r="9" customFormat="false" ht="15" hidden="false" customHeight="true" outlineLevel="0" collapsed="false">
      <c r="A9" s="6" t="s">
        <v>36</v>
      </c>
      <c r="B9" s="10" t="n">
        <v>13059</v>
      </c>
      <c r="C9" s="10" t="n">
        <v>19206</v>
      </c>
      <c r="D9" s="10" t="n">
        <v>26280</v>
      </c>
      <c r="E9" s="10" t="n">
        <v>33088</v>
      </c>
      <c r="F9" s="10" t="n">
        <v>43228</v>
      </c>
      <c r="G9" s="11" t="s">
        <v>32</v>
      </c>
    </row>
    <row r="10" customFormat="false" ht="15" hidden="false" customHeight="true" outlineLevel="0" collapsed="false">
      <c r="A10" s="5" t="s">
        <v>37</v>
      </c>
      <c r="B10" s="12" t="n">
        <v>657</v>
      </c>
      <c r="C10" s="12" t="n">
        <v>753</v>
      </c>
      <c r="D10" s="12" t="n">
        <v>1068</v>
      </c>
      <c r="E10" s="12" t="n">
        <v>1527</v>
      </c>
      <c r="F10" s="12" t="n">
        <v>1651</v>
      </c>
      <c r="G10" s="11" t="s">
        <v>32</v>
      </c>
    </row>
    <row r="11" customFormat="false" ht="15" hidden="false" customHeight="true" outlineLevel="0" collapsed="false">
      <c r="A11" s="6" t="s">
        <v>38</v>
      </c>
      <c r="B11" s="10" t="n">
        <v>176</v>
      </c>
      <c r="C11" s="10" t="n">
        <v>149</v>
      </c>
      <c r="D11" s="10" t="n">
        <v>185</v>
      </c>
      <c r="E11" s="10" t="n">
        <v>236</v>
      </c>
      <c r="F11" s="10" t="n">
        <v>561</v>
      </c>
      <c r="G11" s="11" t="s">
        <v>32</v>
      </c>
    </row>
    <row r="12" customFormat="false" ht="15" hidden="false" customHeight="true" outlineLevel="0" collapsed="false">
      <c r="A12" s="5" t="s">
        <v>39</v>
      </c>
      <c r="B12" s="12" t="n">
        <v>182527</v>
      </c>
      <c r="C12" s="12" t="n">
        <v>257637</v>
      </c>
      <c r="D12" s="12" t="n">
        <v>282836</v>
      </c>
      <c r="E12" s="12" t="n">
        <v>307394</v>
      </c>
      <c r="F12" s="12" t="n">
        <v>350018</v>
      </c>
      <c r="G12" s="11" t="s">
        <v>32</v>
      </c>
    </row>
    <row r="14" customFormat="false" ht="15" hidden="false" customHeight="true" outlineLevel="0" collapsed="false">
      <c r="A14" s="9" t="s">
        <v>40</v>
      </c>
    </row>
    <row r="15" customFormat="false" ht="15" hidden="false" customHeight="true" outlineLevel="0" collapsed="false">
      <c r="A15" s="6" t="s">
        <v>41</v>
      </c>
      <c r="B15" s="10" t="n">
        <v>84732</v>
      </c>
      <c r="C15" s="10" t="n">
        <v>110939</v>
      </c>
      <c r="D15" s="10" t="n">
        <v>126203</v>
      </c>
      <c r="E15" s="10" t="n">
        <v>133332</v>
      </c>
      <c r="F15" s="10" t="n">
        <v>146306</v>
      </c>
      <c r="G15" s="11" t="s">
        <v>32</v>
      </c>
    </row>
    <row r="16" customFormat="false" ht="15" hidden="false" customHeight="true" outlineLevel="0" collapsed="false">
      <c r="A16" s="5" t="s">
        <v>42</v>
      </c>
      <c r="B16" s="12" t="n">
        <v>27573</v>
      </c>
      <c r="C16" s="12" t="n">
        <v>31562</v>
      </c>
      <c r="D16" s="12" t="n">
        <v>39500</v>
      </c>
      <c r="E16" s="12" t="n">
        <v>45427</v>
      </c>
      <c r="F16" s="12" t="n">
        <v>49316</v>
      </c>
      <c r="G16" s="11" t="s">
        <v>32</v>
      </c>
    </row>
    <row r="17" customFormat="false" ht="15" hidden="false" customHeight="true" outlineLevel="0" collapsed="false">
      <c r="A17" s="6" t="s">
        <v>43</v>
      </c>
      <c r="B17" s="10" t="n">
        <v>17946</v>
      </c>
      <c r="C17" s="10" t="n">
        <v>22912</v>
      </c>
      <c r="D17" s="10" t="n">
        <v>26567</v>
      </c>
      <c r="E17" s="10" t="n">
        <v>27917</v>
      </c>
      <c r="F17" s="10" t="n">
        <v>27573</v>
      </c>
      <c r="G17" s="11" t="s">
        <v>32</v>
      </c>
    </row>
    <row r="18" customFormat="false" ht="15" hidden="false" customHeight="true" outlineLevel="0" collapsed="false">
      <c r="A18" s="5" t="s">
        <v>44</v>
      </c>
      <c r="B18" s="12" t="n">
        <v>11052</v>
      </c>
      <c r="C18" s="12" t="n">
        <v>13510</v>
      </c>
      <c r="D18" s="12" t="n">
        <v>15724</v>
      </c>
      <c r="E18" s="12" t="n">
        <v>16425</v>
      </c>
      <c r="F18" s="12" t="n">
        <v>15846</v>
      </c>
      <c r="G18" s="11" t="s">
        <v>32</v>
      </c>
    </row>
    <row r="19" customFormat="false" ht="15" hidden="false" customHeight="true" outlineLevel="0" collapsed="false">
      <c r="A19" s="6" t="s">
        <v>45</v>
      </c>
      <c r="B19" s="10" t="n">
        <v>142778</v>
      </c>
      <c r="C19" s="10" t="n">
        <v>180005</v>
      </c>
      <c r="D19" s="10" t="n">
        <v>207994</v>
      </c>
      <c r="E19" s="10" t="n">
        <v>222650</v>
      </c>
      <c r="F19" s="10" t="n">
        <v>239041</v>
      </c>
      <c r="G19" s="11" t="s">
        <v>32</v>
      </c>
    </row>
    <row r="21" customFormat="false" ht="15" hidden="false" customHeight="true" outlineLevel="0" collapsed="false">
      <c r="A21" s="6" t="s">
        <v>46</v>
      </c>
      <c r="B21" s="10" t="n">
        <v>41224</v>
      </c>
      <c r="C21" s="10" t="n">
        <v>78714</v>
      </c>
      <c r="D21" s="10" t="n">
        <v>74842</v>
      </c>
      <c r="E21" s="10" t="n">
        <v>84293</v>
      </c>
      <c r="F21" s="10" t="n">
        <v>112390</v>
      </c>
      <c r="G21" s="11" t="s">
        <v>32</v>
      </c>
    </row>
    <row r="22" customFormat="false" ht="15" hidden="false" customHeight="true" outlineLevel="0" collapsed="false">
      <c r="A22" s="5" t="s">
        <v>47</v>
      </c>
      <c r="B22" s="13" t="n">
        <v>0.226</v>
      </c>
      <c r="C22" s="13" t="n">
        <v>0.306</v>
      </c>
      <c r="D22" s="13" t="n">
        <v>0.265</v>
      </c>
      <c r="E22" s="13" t="n">
        <v>0.274</v>
      </c>
      <c r="F22" s="13" t="n">
        <v>0.321</v>
      </c>
      <c r="G22" s="11" t="s">
        <v>32</v>
      </c>
    </row>
    <row r="23" customFormat="false" ht="15" hidden="false" customHeight="true" outlineLevel="0" collapsed="false">
      <c r="A23" s="6" t="s">
        <v>48</v>
      </c>
      <c r="B23" s="10" t="n">
        <v>6858</v>
      </c>
      <c r="C23" s="10" t="n">
        <v>12020</v>
      </c>
      <c r="D23" s="10" t="n">
        <v>-3529</v>
      </c>
      <c r="E23" s="10" t="n">
        <v>1424</v>
      </c>
      <c r="F23" s="10" t="n">
        <v>7425</v>
      </c>
      <c r="G23" s="11" t="s">
        <v>32</v>
      </c>
    </row>
    <row r="24" customFormat="false" ht="15" hidden="false" customHeight="true" outlineLevel="0" collapsed="false">
      <c r="A24" s="5" t="s">
        <v>49</v>
      </c>
      <c r="B24" s="12" t="n">
        <v>47934</v>
      </c>
      <c r="C24" s="12" t="n">
        <v>92270</v>
      </c>
      <c r="D24" s="12" t="n">
        <v>71313</v>
      </c>
      <c r="E24" s="12" t="n">
        <v>85717</v>
      </c>
      <c r="F24" s="12" t="n">
        <v>119815</v>
      </c>
      <c r="G24" s="11" t="s">
        <v>32</v>
      </c>
    </row>
    <row r="25" customFormat="false" ht="15" hidden="false" customHeight="true" outlineLevel="0" collapsed="false">
      <c r="A25" s="6" t="s">
        <v>50</v>
      </c>
      <c r="B25" s="10" t="n">
        <v>7813</v>
      </c>
      <c r="C25" s="10" t="n">
        <v>14701</v>
      </c>
      <c r="D25" s="10" t="n">
        <v>11356</v>
      </c>
      <c r="E25" s="10" t="n">
        <v>11922</v>
      </c>
      <c r="F25" s="10" t="n">
        <v>19697</v>
      </c>
      <c r="G25" s="11" t="s">
        <v>32</v>
      </c>
    </row>
    <row r="26" customFormat="false" ht="15" hidden="false" customHeight="true" outlineLevel="0" collapsed="false">
      <c r="A26" s="5" t="s">
        <v>51</v>
      </c>
      <c r="B26" s="13" t="n">
        <v>0.163</v>
      </c>
      <c r="C26" s="13" t="n">
        <v>0.159</v>
      </c>
      <c r="D26" s="13" t="n">
        <v>0.159</v>
      </c>
      <c r="E26" s="13" t="n">
        <v>0.139</v>
      </c>
      <c r="F26" s="13" t="n">
        <v>0.164</v>
      </c>
      <c r="G26" s="11" t="s">
        <v>32</v>
      </c>
    </row>
    <row r="27" customFormat="false" ht="15" hidden="false" customHeight="true" outlineLevel="0" collapsed="false">
      <c r="A27" s="6" t="s">
        <v>52</v>
      </c>
      <c r="B27" s="10" t="n">
        <v>40269</v>
      </c>
      <c r="C27" s="10" t="n">
        <v>76033</v>
      </c>
      <c r="D27" s="10" t="n">
        <v>59972</v>
      </c>
      <c r="E27" s="10" t="n">
        <v>73795</v>
      </c>
      <c r="F27" s="10" t="n">
        <v>100118</v>
      </c>
      <c r="G27" s="11" t="s">
        <v>32</v>
      </c>
    </row>
    <row r="28" customFormat="false" ht="15" hidden="false" customHeight="true" outlineLevel="0" collapsed="false">
      <c r="A28" s="5" t="s">
        <v>53</v>
      </c>
      <c r="B28" s="13" t="n">
        <v>0.221</v>
      </c>
      <c r="C28" s="13" t="n">
        <v>0.295</v>
      </c>
      <c r="D28" s="13" t="n">
        <v>0.212</v>
      </c>
      <c r="E28" s="13" t="n">
        <v>0.24</v>
      </c>
      <c r="F28" s="13" t="n">
        <v>0.286</v>
      </c>
      <c r="G28" s="11" t="s">
        <v>32</v>
      </c>
    </row>
    <row r="30" customFormat="false" ht="15" hidden="false" customHeight="true" outlineLevel="0" collapsed="false">
      <c r="A30" s="9" t="s">
        <v>54</v>
      </c>
    </row>
    <row r="31" customFormat="false" ht="15" hidden="false" customHeight="true" outlineLevel="0" collapsed="false">
      <c r="A31" s="6" t="s">
        <v>55</v>
      </c>
      <c r="B31" s="10" t="n">
        <v>2.93</v>
      </c>
      <c r="C31" s="10" t="n">
        <v>5.61</v>
      </c>
      <c r="D31" s="10" t="n">
        <v>4.56</v>
      </c>
      <c r="E31" s="10" t="n">
        <v>5.8</v>
      </c>
      <c r="F31" s="10" t="n">
        <v>8.04</v>
      </c>
      <c r="G31" s="11" t="s">
        <v>32</v>
      </c>
    </row>
    <row r="32" customFormat="false" ht="15" hidden="false" customHeight="true" outlineLevel="0" collapsed="false">
      <c r="A32" s="5" t="s">
        <v>56</v>
      </c>
      <c r="B32" s="12" t="n">
        <v>13738</v>
      </c>
      <c r="C32" s="12" t="n">
        <v>13551</v>
      </c>
      <c r="D32" s="12" t="n">
        <v>13149</v>
      </c>
      <c r="E32" s="12" t="n">
        <v>12725</v>
      </c>
      <c r="F32" s="12" t="n">
        <v>12460</v>
      </c>
      <c r="G32" s="11" t="s">
        <v>32</v>
      </c>
    </row>
    <row r="33" customFormat="false" ht="15" hidden="false" customHeight="true" outlineLevel="0" collapsed="false">
      <c r="A33" s="6" t="s">
        <v>57</v>
      </c>
      <c r="B33" s="14"/>
      <c r="C33" s="14"/>
      <c r="D33" s="14"/>
      <c r="E33" s="14"/>
      <c r="F33" s="15" t="n">
        <v>0.84</v>
      </c>
      <c r="G33" s="11" t="s">
        <v>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7" t="s">
        <v>58</v>
      </c>
      <c r="B1" s="7"/>
      <c r="C1" s="7"/>
      <c r="D1" s="7"/>
      <c r="E1" s="7"/>
      <c r="F1" s="7"/>
      <c r="G1" s="7"/>
    </row>
    <row r="3" customFormat="false" ht="15" hidden="false" customHeight="tru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8" t="s">
        <v>29</v>
      </c>
    </row>
    <row r="4" customFormat="false" ht="15" hidden="false" customHeight="true" outlineLevel="0" collapsed="false">
      <c r="A4" s="9" t="s">
        <v>59</v>
      </c>
    </row>
    <row r="5" customFormat="false" ht="15" hidden="false" customHeight="true" outlineLevel="0" collapsed="false">
      <c r="A5" s="6" t="s">
        <v>60</v>
      </c>
      <c r="B5" s="10" t="n">
        <v>20945</v>
      </c>
      <c r="C5" s="10" t="n">
        <v>20945</v>
      </c>
      <c r="D5" s="10" t="n">
        <v>21879</v>
      </c>
      <c r="E5" s="10" t="n">
        <v>24048</v>
      </c>
      <c r="F5" s="10" t="n">
        <v>26450</v>
      </c>
      <c r="G5" s="11" t="s">
        <v>61</v>
      </c>
    </row>
    <row r="6" customFormat="false" ht="15" hidden="false" customHeight="true" outlineLevel="0" collapsed="false">
      <c r="A6" s="5" t="s">
        <v>62</v>
      </c>
      <c r="B6" s="12" t="n">
        <v>110229</v>
      </c>
      <c r="C6" s="12" t="n">
        <v>118704</v>
      </c>
      <c r="D6" s="12" t="n">
        <v>91883</v>
      </c>
      <c r="E6" s="12" t="n">
        <v>86868</v>
      </c>
      <c r="F6" s="12" t="n">
        <v>72795</v>
      </c>
      <c r="G6" s="11" t="s">
        <v>61</v>
      </c>
    </row>
    <row r="7" customFormat="false" ht="15" hidden="false" customHeight="true" outlineLevel="0" collapsed="false">
      <c r="A7" s="6" t="s">
        <v>63</v>
      </c>
      <c r="B7" s="10" t="n">
        <v>131174</v>
      </c>
      <c r="C7" s="10" t="n">
        <v>139649</v>
      </c>
      <c r="D7" s="10" t="n">
        <v>113762</v>
      </c>
      <c r="E7" s="10" t="n">
        <v>110916</v>
      </c>
      <c r="F7" s="10" t="n">
        <v>110174</v>
      </c>
      <c r="G7" s="11" t="s">
        <v>61</v>
      </c>
    </row>
    <row r="8" customFormat="false" ht="15" hidden="false" customHeight="true" outlineLevel="0" collapsed="false">
      <c r="A8" s="5" t="s">
        <v>64</v>
      </c>
      <c r="B8" s="12" t="n">
        <v>30930</v>
      </c>
      <c r="C8" s="12" t="n">
        <v>39304</v>
      </c>
      <c r="D8" s="12" t="n">
        <v>40258</v>
      </c>
      <c r="E8" s="12" t="n">
        <v>47964</v>
      </c>
      <c r="F8" s="12" t="n">
        <v>54410</v>
      </c>
      <c r="G8" s="11" t="s">
        <v>61</v>
      </c>
    </row>
    <row r="9" customFormat="false" ht="15" hidden="false" customHeight="true" outlineLevel="0" collapsed="false">
      <c r="A9" s="6" t="s">
        <v>65</v>
      </c>
      <c r="B9" s="10" t="n">
        <v>6791</v>
      </c>
      <c r="C9" s="10" t="n">
        <v>7054</v>
      </c>
      <c r="D9" s="10" t="n">
        <v>10775</v>
      </c>
      <c r="E9" s="10" t="n">
        <v>12650</v>
      </c>
      <c r="F9" s="10" t="n">
        <v>14640</v>
      </c>
      <c r="G9" s="11" t="s">
        <v>61</v>
      </c>
    </row>
    <row r="10" customFormat="false" ht="15" hidden="false" customHeight="true" outlineLevel="0" collapsed="false">
      <c r="A10" s="5" t="s">
        <v>66</v>
      </c>
      <c r="B10" s="12" t="n">
        <v>175922</v>
      </c>
      <c r="C10" s="12" t="n">
        <v>188143</v>
      </c>
      <c r="D10" s="12" t="n">
        <v>164795</v>
      </c>
      <c r="E10" s="12" t="n">
        <v>171530</v>
      </c>
      <c r="F10" s="12" t="n">
        <v>184962</v>
      </c>
      <c r="G10" s="11" t="s">
        <v>61</v>
      </c>
    </row>
    <row r="11" customFormat="false" ht="15" hidden="false" customHeight="true" outlineLevel="0" collapsed="false">
      <c r="A11" s="6" t="s">
        <v>67</v>
      </c>
      <c r="B11" s="10" t="n">
        <v>20703</v>
      </c>
      <c r="C11" s="10" t="n">
        <v>29549</v>
      </c>
      <c r="D11" s="10" t="n">
        <v>30492</v>
      </c>
      <c r="E11" s="10" t="n">
        <v>31008</v>
      </c>
      <c r="F11" s="10" t="n">
        <v>37052</v>
      </c>
      <c r="G11" s="11" t="s">
        <v>61</v>
      </c>
    </row>
    <row r="12" customFormat="false" ht="15" hidden="false" customHeight="true" outlineLevel="0" collapsed="false">
      <c r="A12" s="5" t="s">
        <v>68</v>
      </c>
      <c r="B12" s="12" t="n">
        <v>1084</v>
      </c>
      <c r="C12" s="12" t="n">
        <v>1284</v>
      </c>
      <c r="D12" s="12" t="n">
        <v>5261</v>
      </c>
      <c r="E12" s="12" t="n">
        <v>12169</v>
      </c>
      <c r="F12" s="12" t="n">
        <v>16029</v>
      </c>
      <c r="G12" s="11" t="s">
        <v>61</v>
      </c>
    </row>
    <row r="13" customFormat="false" ht="15" hidden="false" customHeight="true" outlineLevel="0" collapsed="false">
      <c r="A13" s="6" t="s">
        <v>69</v>
      </c>
      <c r="B13" s="10" t="n">
        <v>84749</v>
      </c>
      <c r="C13" s="10" t="n">
        <v>97599</v>
      </c>
      <c r="D13" s="10" t="n">
        <v>112668</v>
      </c>
      <c r="E13" s="10" t="n">
        <v>134345</v>
      </c>
      <c r="F13" s="10" t="n">
        <v>177532</v>
      </c>
      <c r="G13" s="11" t="s">
        <v>61</v>
      </c>
    </row>
    <row r="14" customFormat="false" ht="15" hidden="false" customHeight="true" outlineLevel="0" collapsed="false">
      <c r="A14" s="5" t="s">
        <v>70</v>
      </c>
      <c r="B14" s="12" t="n">
        <v>12211</v>
      </c>
      <c r="C14" s="12" t="n">
        <v>12959</v>
      </c>
      <c r="D14" s="12" t="n">
        <v>14381</v>
      </c>
      <c r="E14" s="12" t="n">
        <v>14091</v>
      </c>
      <c r="F14" s="12" t="n">
        <v>14803</v>
      </c>
      <c r="G14" s="11" t="s">
        <v>61</v>
      </c>
    </row>
    <row r="15" customFormat="false" ht="15" hidden="false" customHeight="true" outlineLevel="0" collapsed="false">
      <c r="A15" s="6" t="s">
        <v>71</v>
      </c>
      <c r="B15" s="10" t="n">
        <v>21175</v>
      </c>
      <c r="C15" s="10" t="n">
        <v>22956</v>
      </c>
      <c r="D15" s="10" t="n">
        <v>28960</v>
      </c>
      <c r="E15" s="10" t="n">
        <v>29198</v>
      </c>
      <c r="F15" s="10" t="n">
        <v>32838</v>
      </c>
      <c r="G15" s="11" t="s">
        <v>61</v>
      </c>
    </row>
    <row r="16" customFormat="false" ht="15" hidden="false" customHeight="true" outlineLevel="0" collapsed="false">
      <c r="A16" s="5" t="s">
        <v>72</v>
      </c>
      <c r="B16" s="12" t="n">
        <v>1445</v>
      </c>
      <c r="C16" s="12" t="n">
        <v>1417</v>
      </c>
      <c r="D16" s="12" t="n">
        <v>1985</v>
      </c>
      <c r="E16" s="12" t="n">
        <v>1991</v>
      </c>
      <c r="F16" s="12" t="n">
        <v>2093</v>
      </c>
      <c r="G16" s="11" t="s">
        <v>61</v>
      </c>
    </row>
    <row r="17" customFormat="false" ht="15" hidden="false" customHeight="true" outlineLevel="0" collapsed="false">
      <c r="A17" s="6" t="s">
        <v>73</v>
      </c>
      <c r="B17" s="10" t="n">
        <v>3953</v>
      </c>
      <c r="C17" s="10" t="n">
        <v>5361</v>
      </c>
      <c r="D17" s="10" t="n">
        <v>8707</v>
      </c>
      <c r="E17" s="10" t="n">
        <v>10051</v>
      </c>
      <c r="F17" s="10" t="n">
        <v>12201</v>
      </c>
      <c r="G17" s="11" t="s">
        <v>61</v>
      </c>
    </row>
    <row r="18" customFormat="false" ht="15" hidden="false" customHeight="true" outlineLevel="0" collapsed="false">
      <c r="A18" s="5" t="s">
        <v>74</v>
      </c>
      <c r="B18" s="12" t="n">
        <v>319616</v>
      </c>
      <c r="C18" s="12" t="n">
        <v>359268</v>
      </c>
      <c r="D18" s="12" t="n">
        <v>365264</v>
      </c>
      <c r="E18" s="12" t="n">
        <v>402392</v>
      </c>
      <c r="F18" s="12" t="n">
        <v>450256</v>
      </c>
      <c r="G18" s="11" t="s">
        <v>61</v>
      </c>
    </row>
    <row r="20" customFormat="false" ht="15" hidden="false" customHeight="true" outlineLevel="0" collapsed="false">
      <c r="A20" s="9" t="s">
        <v>75</v>
      </c>
    </row>
    <row r="21" customFormat="false" ht="15" hidden="false" customHeight="true" outlineLevel="0" collapsed="false">
      <c r="A21" s="6" t="s">
        <v>76</v>
      </c>
      <c r="B21" s="10" t="n">
        <v>5589</v>
      </c>
      <c r="C21" s="10" t="n">
        <v>6037</v>
      </c>
      <c r="D21" s="10" t="n">
        <v>6248</v>
      </c>
      <c r="E21" s="10" t="n">
        <v>7493</v>
      </c>
      <c r="F21" s="10" t="n">
        <v>8193</v>
      </c>
      <c r="G21" s="11" t="s">
        <v>61</v>
      </c>
    </row>
    <row r="22" customFormat="false" ht="15" hidden="false" customHeight="true" outlineLevel="0" collapsed="false">
      <c r="A22" s="5" t="s">
        <v>77</v>
      </c>
      <c r="B22" s="12" t="n">
        <v>28631</v>
      </c>
      <c r="C22" s="12" t="n">
        <v>35658</v>
      </c>
      <c r="D22" s="12" t="n">
        <v>37866</v>
      </c>
      <c r="E22" s="12" t="n">
        <v>46068</v>
      </c>
      <c r="F22" s="12" t="n">
        <v>50082</v>
      </c>
      <c r="G22" s="11" t="s">
        <v>61</v>
      </c>
    </row>
    <row r="23" customFormat="false" ht="15" hidden="false" customHeight="true" outlineLevel="0" collapsed="false">
      <c r="A23" s="6" t="s">
        <v>78</v>
      </c>
      <c r="B23" s="10" t="n">
        <v>3129</v>
      </c>
      <c r="C23" s="10" t="n">
        <v>3288</v>
      </c>
      <c r="D23" s="10" t="n">
        <v>3616</v>
      </c>
      <c r="E23" s="10" t="n">
        <v>4025</v>
      </c>
      <c r="F23" s="10" t="n">
        <v>4469</v>
      </c>
      <c r="G23" s="11" t="s">
        <v>61</v>
      </c>
    </row>
    <row r="24" customFormat="false" ht="15" hidden="false" customHeight="true" outlineLevel="0" collapsed="false">
      <c r="A24" s="5" t="s">
        <v>79</v>
      </c>
      <c r="B24" s="12" t="n">
        <v>45221</v>
      </c>
      <c r="C24" s="12" t="n">
        <v>57066</v>
      </c>
      <c r="D24" s="12" t="n">
        <v>69300</v>
      </c>
      <c r="E24" s="12" t="n">
        <v>81814</v>
      </c>
      <c r="F24" s="12" t="n">
        <v>81671</v>
      </c>
      <c r="G24" s="11" t="s">
        <v>61</v>
      </c>
    </row>
    <row r="25" customFormat="false" ht="15" hidden="false" customHeight="true" outlineLevel="0" collapsed="false">
      <c r="A25" s="6" t="s">
        <v>80</v>
      </c>
      <c r="B25" s="10" t="n">
        <v>13932</v>
      </c>
      <c r="C25" s="10" t="n">
        <v>14817</v>
      </c>
      <c r="D25" s="10" t="n">
        <v>14701</v>
      </c>
      <c r="E25" s="10" t="n">
        <v>13253</v>
      </c>
      <c r="F25" s="10" t="n">
        <v>10818</v>
      </c>
      <c r="G25" s="11" t="s">
        <v>61</v>
      </c>
    </row>
    <row r="26" customFormat="false" ht="15" hidden="false" customHeight="true" outlineLevel="0" collapsed="false">
      <c r="A26" s="5" t="s">
        <v>81</v>
      </c>
      <c r="B26" s="12" t="n">
        <v>11389</v>
      </c>
      <c r="C26" s="12" t="n">
        <v>11389</v>
      </c>
      <c r="D26" s="12" t="n">
        <v>12501</v>
      </c>
      <c r="E26" s="12" t="n">
        <v>12460</v>
      </c>
      <c r="F26" s="12" t="n">
        <v>12744</v>
      </c>
      <c r="G26" s="11" t="s">
        <v>61</v>
      </c>
    </row>
    <row r="27" customFormat="false" ht="15" hidden="false" customHeight="true" outlineLevel="0" collapsed="false">
      <c r="A27" s="6" t="s">
        <v>82</v>
      </c>
      <c r="B27" s="10" t="n">
        <v>17363</v>
      </c>
      <c r="C27" s="10" t="n">
        <v>17363</v>
      </c>
      <c r="D27" s="10" t="n">
        <v>22433</v>
      </c>
      <c r="E27" s="10" t="n">
        <v>11168</v>
      </c>
      <c r="F27" s="10" t="n">
        <v>14145</v>
      </c>
      <c r="G27" s="11" t="s">
        <v>61</v>
      </c>
    </row>
    <row r="28" customFormat="false" ht="15" hidden="false" customHeight="true" outlineLevel="0" collapsed="false">
      <c r="A28" s="5" t="s">
        <v>83</v>
      </c>
      <c r="B28" s="12" t="n">
        <v>97071</v>
      </c>
      <c r="C28" s="12" t="n">
        <v>107633</v>
      </c>
      <c r="D28" s="12" t="n">
        <v>109120</v>
      </c>
      <c r="E28" s="12" t="n">
        <v>119013</v>
      </c>
      <c r="F28" s="12" t="n">
        <v>125172</v>
      </c>
      <c r="G28" s="11" t="s">
        <v>61</v>
      </c>
    </row>
    <row r="30" customFormat="false" ht="15" hidden="false" customHeight="true" outlineLevel="0" collapsed="false">
      <c r="A30" s="9" t="s">
        <v>84</v>
      </c>
    </row>
    <row r="31" customFormat="false" ht="15" hidden="false" customHeight="true" outlineLevel="0" collapsed="false">
      <c r="A31" s="6" t="s">
        <v>85</v>
      </c>
      <c r="B31" s="10" t="n">
        <v>58510</v>
      </c>
      <c r="C31" s="10" t="n">
        <v>63022</v>
      </c>
      <c r="D31" s="10" t="n">
        <v>68184</v>
      </c>
      <c r="E31" s="10" t="n">
        <v>76534</v>
      </c>
      <c r="F31" s="10" t="n">
        <v>83883</v>
      </c>
      <c r="G31" s="11" t="s">
        <v>61</v>
      </c>
    </row>
    <row r="32" customFormat="false" ht="15" hidden="false" customHeight="true" outlineLevel="0" collapsed="false">
      <c r="A32" s="5" t="s">
        <v>86</v>
      </c>
      <c r="B32" s="12" t="n">
        <v>163401</v>
      </c>
      <c r="C32" s="12" t="n">
        <v>191985</v>
      </c>
      <c r="D32" s="12" t="n">
        <v>172744</v>
      </c>
      <c r="E32" s="12" t="n">
        <v>211182</v>
      </c>
      <c r="F32" s="12" t="n">
        <v>285668</v>
      </c>
      <c r="G32" s="11" t="s">
        <v>61</v>
      </c>
    </row>
    <row r="33" customFormat="false" ht="15" hidden="false" customHeight="true" outlineLevel="0" collapsed="false">
      <c r="A33" s="6" t="s">
        <v>87</v>
      </c>
      <c r="B33" s="10" t="n">
        <v>242</v>
      </c>
      <c r="C33" s="10" t="n">
        <v>1623</v>
      </c>
      <c r="D33" s="10" t="n">
        <v>-1545</v>
      </c>
      <c r="E33" s="10" t="n">
        <v>-4311</v>
      </c>
      <c r="F33" s="10" t="n">
        <v>-3293</v>
      </c>
      <c r="G33" s="11" t="s">
        <v>61</v>
      </c>
    </row>
    <row r="34" customFormat="false" ht="15" hidden="false" customHeight="true" outlineLevel="0" collapsed="false">
      <c r="A34" s="5" t="s">
        <v>88</v>
      </c>
      <c r="B34" s="12" t="n">
        <v>222544</v>
      </c>
      <c r="C34" s="12" t="n">
        <v>251635</v>
      </c>
      <c r="D34" s="12" t="n">
        <v>256144</v>
      </c>
      <c r="E34" s="12" t="n">
        <v>283379</v>
      </c>
      <c r="F34" s="12" t="n">
        <v>325084</v>
      </c>
      <c r="G34" s="11" t="s">
        <v>61</v>
      </c>
    </row>
    <row r="35" customFormat="false" ht="15" hidden="false" customHeight="true" outlineLevel="0" collapsed="false">
      <c r="A35" s="6" t="s">
        <v>89</v>
      </c>
      <c r="B35" s="10" t="n">
        <v>319616</v>
      </c>
      <c r="C35" s="10" t="n">
        <v>359268</v>
      </c>
      <c r="D35" s="10" t="n">
        <v>365264</v>
      </c>
      <c r="E35" s="10" t="n">
        <v>402392</v>
      </c>
      <c r="F35" s="10" t="n">
        <v>450256</v>
      </c>
      <c r="G35" s="11" t="s">
        <v>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7" t="s">
        <v>90</v>
      </c>
      <c r="B1" s="7"/>
      <c r="C1" s="7"/>
      <c r="D1" s="7"/>
      <c r="E1" s="7"/>
      <c r="F1" s="7"/>
      <c r="G1" s="7"/>
    </row>
    <row r="3" customFormat="false" ht="15" hidden="false" customHeight="tru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8" t="s">
        <v>29</v>
      </c>
    </row>
    <row r="4" customFormat="false" ht="15" hidden="false" customHeight="true" outlineLevel="0" collapsed="false">
      <c r="A4" s="9" t="s">
        <v>91</v>
      </c>
    </row>
    <row r="5" customFormat="false" ht="15" hidden="false" customHeight="true" outlineLevel="0" collapsed="false">
      <c r="A5" s="6" t="s">
        <v>92</v>
      </c>
      <c r="B5" s="10" t="n">
        <v>40269</v>
      </c>
      <c r="C5" s="10" t="n">
        <v>76033</v>
      </c>
      <c r="D5" s="10" t="n">
        <v>59972</v>
      </c>
      <c r="E5" s="10" t="n">
        <v>73795</v>
      </c>
      <c r="F5" s="10" t="n">
        <v>100118</v>
      </c>
      <c r="G5" s="11" t="s">
        <v>93</v>
      </c>
    </row>
    <row r="6" customFormat="false" ht="15" hidden="false" customHeight="true" outlineLevel="0" collapsed="false">
      <c r="A6" s="5" t="s">
        <v>94</v>
      </c>
      <c r="B6" s="12" t="n">
        <v>9267</v>
      </c>
      <c r="C6" s="12" t="n">
        <v>11555</v>
      </c>
      <c r="D6" s="12" t="n">
        <v>14749</v>
      </c>
      <c r="E6" s="12" t="n">
        <v>15159</v>
      </c>
      <c r="F6" s="12" t="n">
        <v>17214</v>
      </c>
      <c r="G6" s="11" t="s">
        <v>93</v>
      </c>
    </row>
    <row r="7" customFormat="false" ht="15" hidden="false" customHeight="true" outlineLevel="0" collapsed="false">
      <c r="A7" s="6" t="s">
        <v>95</v>
      </c>
      <c r="B7" s="10" t="n">
        <v>15259</v>
      </c>
      <c r="C7" s="10" t="n">
        <v>19547</v>
      </c>
      <c r="D7" s="10" t="n">
        <v>19525</v>
      </c>
      <c r="E7" s="10" t="n">
        <v>22460</v>
      </c>
      <c r="F7" s="10" t="n">
        <v>24515</v>
      </c>
      <c r="G7" s="11" t="s">
        <v>93</v>
      </c>
    </row>
    <row r="8" customFormat="false" ht="15" hidden="false" customHeight="true" outlineLevel="0" collapsed="false">
      <c r="A8" s="5" t="s">
        <v>96</v>
      </c>
      <c r="B8" s="12" t="n">
        <v>-3364</v>
      </c>
      <c r="C8" s="12" t="n">
        <v>-5752</v>
      </c>
      <c r="D8" s="12" t="n">
        <v>-3892</v>
      </c>
      <c r="E8" s="12" t="n">
        <v>5498</v>
      </c>
      <c r="F8" s="12" t="n">
        <v>-3429</v>
      </c>
      <c r="G8" s="11" t="s">
        <v>93</v>
      </c>
    </row>
    <row r="9" customFormat="false" ht="15" hidden="false" customHeight="true" outlineLevel="0" collapsed="false">
      <c r="A9" s="6" t="s">
        <v>97</v>
      </c>
      <c r="B9" s="10" t="n">
        <v>65124</v>
      </c>
      <c r="C9" s="10" t="n">
        <v>91652</v>
      </c>
      <c r="D9" s="10" t="n">
        <v>91495</v>
      </c>
      <c r="E9" s="10" t="n">
        <v>101746</v>
      </c>
      <c r="F9" s="10" t="n">
        <v>125333</v>
      </c>
      <c r="G9" s="11" t="s">
        <v>93</v>
      </c>
    </row>
    <row r="11" customFormat="false" ht="15" hidden="false" customHeight="true" outlineLevel="0" collapsed="false">
      <c r="A11" s="9" t="s">
        <v>98</v>
      </c>
    </row>
    <row r="12" customFormat="false" ht="15" hidden="false" customHeight="true" outlineLevel="0" collapsed="false">
      <c r="A12" s="5" t="s">
        <v>99</v>
      </c>
      <c r="B12" s="12" t="n">
        <v>-22461</v>
      </c>
      <c r="C12" s="12" t="n">
        <v>-24273</v>
      </c>
      <c r="D12" s="12" t="n">
        <v>-31485</v>
      </c>
      <c r="E12" s="12" t="n">
        <v>-32251</v>
      </c>
      <c r="F12" s="12" t="n">
        <v>-52535</v>
      </c>
      <c r="G12" s="11" t="s">
        <v>93</v>
      </c>
    </row>
    <row r="13" customFormat="false" ht="15" hidden="false" customHeight="true" outlineLevel="0" collapsed="false">
      <c r="A13" s="6" t="s">
        <v>100</v>
      </c>
      <c r="B13" s="10" t="n">
        <v>-136672</v>
      </c>
      <c r="C13" s="10" t="n">
        <v>-135196</v>
      </c>
      <c r="D13" s="10" t="n">
        <v>-78878</v>
      </c>
      <c r="E13" s="10" t="n">
        <v>-106573</v>
      </c>
      <c r="F13" s="10" t="n">
        <v>-73752</v>
      </c>
      <c r="G13" s="11" t="s">
        <v>93</v>
      </c>
    </row>
    <row r="14" customFormat="false" ht="15" hidden="false" customHeight="true" outlineLevel="0" collapsed="false">
      <c r="A14" s="5" t="s">
        <v>101</v>
      </c>
      <c r="B14" s="12" t="n">
        <v>130024</v>
      </c>
      <c r="C14" s="12" t="n">
        <v>127704</v>
      </c>
      <c r="D14" s="12" t="n">
        <v>87697</v>
      </c>
      <c r="E14" s="12" t="n">
        <v>99527</v>
      </c>
      <c r="F14" s="12" t="n">
        <v>81591</v>
      </c>
      <c r="G14" s="11" t="s">
        <v>93</v>
      </c>
    </row>
    <row r="15" customFormat="false" ht="15" hidden="false" customHeight="true" outlineLevel="0" collapsed="false">
      <c r="A15" s="6" t="s">
        <v>102</v>
      </c>
      <c r="B15" s="10" t="n">
        <v>-1267</v>
      </c>
      <c r="C15" s="10" t="n">
        <v>-2618</v>
      </c>
      <c r="D15" s="10" t="n">
        <v>-8669</v>
      </c>
      <c r="E15" s="10" t="n">
        <v>-2084</v>
      </c>
      <c r="F15" s="10" t="n">
        <v>-3259</v>
      </c>
      <c r="G15" s="11" t="s">
        <v>93</v>
      </c>
    </row>
    <row r="16" customFormat="false" ht="15" hidden="false" customHeight="true" outlineLevel="0" collapsed="false">
      <c r="A16" s="5" t="s">
        <v>103</v>
      </c>
      <c r="B16" s="12" t="n">
        <v>-609</v>
      </c>
      <c r="C16" s="12" t="n">
        <v>-4205</v>
      </c>
      <c r="D16" s="12" t="n">
        <v>-1769</v>
      </c>
      <c r="E16" s="12" t="n">
        <v>-2537</v>
      </c>
      <c r="F16" s="12" t="n">
        <v>-1785</v>
      </c>
      <c r="G16" s="11" t="s">
        <v>93</v>
      </c>
    </row>
    <row r="17" customFormat="false" ht="15" hidden="false" customHeight="true" outlineLevel="0" collapsed="false">
      <c r="A17" s="6" t="s">
        <v>104</v>
      </c>
      <c r="B17" s="10" t="n">
        <v>-30985</v>
      </c>
      <c r="C17" s="10" t="n">
        <v>-38592</v>
      </c>
      <c r="D17" s="10" t="n">
        <v>-33104</v>
      </c>
      <c r="E17" s="10" t="n">
        <v>-43918</v>
      </c>
      <c r="F17" s="10" t="n">
        <v>-49740</v>
      </c>
      <c r="G17" s="11" t="s">
        <v>93</v>
      </c>
    </row>
    <row r="19" customFormat="false" ht="15" hidden="false" customHeight="true" outlineLevel="0" collapsed="false">
      <c r="A19" s="9" t="s">
        <v>105</v>
      </c>
    </row>
    <row r="20" customFormat="false" ht="15" hidden="false" customHeight="true" outlineLevel="0" collapsed="false">
      <c r="A20" s="5" t="s">
        <v>106</v>
      </c>
      <c r="B20" s="12" t="n">
        <v>-31149</v>
      </c>
      <c r="C20" s="12" t="n">
        <v>-50274</v>
      </c>
      <c r="D20" s="12" t="n">
        <v>-59296</v>
      </c>
      <c r="E20" s="12" t="n">
        <v>-61504</v>
      </c>
      <c r="F20" s="12" t="n">
        <v>-61778</v>
      </c>
      <c r="G20" s="11" t="s">
        <v>93</v>
      </c>
    </row>
    <row r="21" customFormat="false" ht="15" hidden="false" customHeight="true" outlineLevel="0" collapsed="false">
      <c r="A21" s="6" t="s">
        <v>107</v>
      </c>
      <c r="B21" s="10" t="n">
        <v>-2100</v>
      </c>
      <c r="C21" s="10" t="n">
        <v>-9</v>
      </c>
      <c r="D21" s="10" t="n">
        <v>0</v>
      </c>
      <c r="E21" s="10" t="n">
        <v>-1500</v>
      </c>
      <c r="F21" s="10" t="n">
        <v>-1999</v>
      </c>
      <c r="G21" s="11" t="s">
        <v>93</v>
      </c>
    </row>
    <row r="22" customFormat="false" ht="15" hidden="false" customHeight="true" outlineLevel="0" collapsed="false">
      <c r="A22" s="5" t="s">
        <v>108</v>
      </c>
      <c r="B22" s="14"/>
      <c r="C22" s="14"/>
      <c r="D22" s="14"/>
      <c r="E22" s="14"/>
      <c r="F22" s="12" t="n">
        <v>-4889</v>
      </c>
      <c r="G22" s="11" t="s">
        <v>93</v>
      </c>
    </row>
    <row r="23" customFormat="false" ht="15" hidden="false" customHeight="true" outlineLevel="0" collapsed="false">
      <c r="A23" s="6" t="s">
        <v>109</v>
      </c>
      <c r="B23" s="10" t="n">
        <v>3364</v>
      </c>
      <c r="C23" s="10" t="n">
        <v>2237</v>
      </c>
      <c r="D23" s="10" t="n">
        <v>2414</v>
      </c>
      <c r="E23" s="10" t="n">
        <v>1649</v>
      </c>
      <c r="F23" s="10" t="n">
        <v>2183</v>
      </c>
      <c r="G23" s="11" t="s">
        <v>93</v>
      </c>
    </row>
    <row r="24" customFormat="false" ht="15" hidden="false" customHeight="true" outlineLevel="0" collapsed="false">
      <c r="A24" s="5" t="s">
        <v>110</v>
      </c>
      <c r="B24" s="12" t="n">
        <v>-30831</v>
      </c>
      <c r="C24" s="12" t="n">
        <v>-60210</v>
      </c>
      <c r="D24" s="12" t="n">
        <v>-59756</v>
      </c>
      <c r="E24" s="12" t="n">
        <v>-61376</v>
      </c>
      <c r="F24" s="12" t="n">
        <v>-69134</v>
      </c>
      <c r="G24" s="11" t="s">
        <v>93</v>
      </c>
    </row>
    <row r="26" customFormat="false" ht="15" hidden="false" customHeight="true" outlineLevel="0" collapsed="false">
      <c r="A26" s="5" t="s">
        <v>111</v>
      </c>
      <c r="B26" s="12" t="n">
        <v>3308</v>
      </c>
      <c r="C26" s="12" t="n">
        <v>-7141</v>
      </c>
      <c r="D26" s="12" t="n">
        <v>-1515</v>
      </c>
      <c r="E26" s="12" t="n">
        <v>2169</v>
      </c>
      <c r="F26" s="12" t="n">
        <v>2402</v>
      </c>
      <c r="G26" s="11" t="s">
        <v>93</v>
      </c>
    </row>
    <row r="27" customFormat="false" ht="15" hidden="false" customHeight="true" outlineLevel="0" collapsed="false">
      <c r="A27" s="6" t="s">
        <v>112</v>
      </c>
      <c r="B27" s="10" t="n">
        <v>42843</v>
      </c>
      <c r="C27" s="10" t="n">
        <v>67012</v>
      </c>
      <c r="D27" s="10" t="n">
        <v>60010</v>
      </c>
      <c r="E27" s="10" t="n">
        <v>69495</v>
      </c>
      <c r="F27" s="10" t="n">
        <v>72764</v>
      </c>
      <c r="G27" s="11" t="s">
        <v>93</v>
      </c>
    </row>
    <row r="28" customFormat="false" ht="15" hidden="false" customHeight="true" outlineLevel="0" collapsed="false">
      <c r="A28" s="5" t="s">
        <v>113</v>
      </c>
      <c r="B28" s="13" t="n">
        <v>0.235</v>
      </c>
      <c r="C28" s="13" t="n">
        <v>0.26</v>
      </c>
      <c r="D28" s="13" t="n">
        <v>0.212</v>
      </c>
      <c r="E28" s="13" t="n">
        <v>0.226</v>
      </c>
      <c r="F28" s="13" t="n">
        <v>0.208</v>
      </c>
      <c r="G28" s="11" t="s">
        <v>93</v>
      </c>
    </row>
    <row r="29" customFormat="false" ht="15" hidden="false" customHeight="true" outlineLevel="0" collapsed="false">
      <c r="A29" s="6" t="s">
        <v>114</v>
      </c>
      <c r="B29" s="15" t="n">
        <v>0.123</v>
      </c>
      <c r="C29" s="15" t="n">
        <v>0.094</v>
      </c>
      <c r="D29" s="15" t="n">
        <v>0.111</v>
      </c>
      <c r="E29" s="15" t="n">
        <v>0.105</v>
      </c>
      <c r="F29" s="15" t="n">
        <v>0.15</v>
      </c>
      <c r="G29" s="11" t="s">
        <v>93</v>
      </c>
    </row>
    <row r="30" customFormat="false" ht="15" hidden="false" customHeight="true" outlineLevel="0" collapsed="false">
      <c r="A30" s="5" t="s">
        <v>115</v>
      </c>
      <c r="B30" s="12" t="n">
        <v>31149</v>
      </c>
      <c r="C30" s="12" t="n">
        <v>50274</v>
      </c>
      <c r="D30" s="12" t="n">
        <v>59296</v>
      </c>
      <c r="E30" s="12" t="n">
        <v>61504</v>
      </c>
      <c r="F30" s="12" t="n">
        <v>61778</v>
      </c>
      <c r="G30" s="11" t="s">
        <v>93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7" t="s">
        <v>116</v>
      </c>
      <c r="B1" s="7"/>
      <c r="C1" s="7"/>
      <c r="D1" s="7"/>
      <c r="E1" s="7"/>
      <c r="F1" s="7"/>
      <c r="G1" s="7"/>
    </row>
    <row r="3" customFormat="false" ht="15" hidden="false" customHeight="true" outlineLevel="0" collapsed="false">
      <c r="A3" s="4" t="s">
        <v>117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8" t="s">
        <v>29</v>
      </c>
    </row>
    <row r="4" customFormat="false" ht="15" hidden="false" customHeight="true" outlineLevel="0" collapsed="false">
      <c r="A4" s="9" t="s">
        <v>30</v>
      </c>
    </row>
    <row r="5" customFormat="false" ht="18.75" hidden="false" customHeight="true" outlineLevel="0" collapsed="false">
      <c r="A5" s="6" t="s">
        <v>118</v>
      </c>
      <c r="B5" s="10" t="n">
        <v>169195</v>
      </c>
      <c r="C5" s="10" t="n">
        <v>237529</v>
      </c>
      <c r="D5" s="10" t="n">
        <v>253528</v>
      </c>
      <c r="E5" s="10" t="n">
        <v>272524</v>
      </c>
      <c r="F5" s="10" t="n">
        <v>307394</v>
      </c>
      <c r="G5" s="11" t="s">
        <v>119</v>
      </c>
    </row>
    <row r="6" customFormat="false" ht="18.75" hidden="false" customHeight="true" outlineLevel="0" collapsed="false">
      <c r="A6" s="5" t="s">
        <v>120</v>
      </c>
      <c r="B6" s="12" t="n">
        <v>13059</v>
      </c>
      <c r="C6" s="12" t="n">
        <v>19206</v>
      </c>
      <c r="D6" s="12" t="n">
        <v>26280</v>
      </c>
      <c r="E6" s="12" t="n">
        <v>33088</v>
      </c>
      <c r="F6" s="12" t="n">
        <v>43228</v>
      </c>
      <c r="G6" s="11" t="s">
        <v>119</v>
      </c>
    </row>
    <row r="7" customFormat="false" ht="18.75" hidden="false" customHeight="true" outlineLevel="0" collapsed="false">
      <c r="A7" s="6" t="s">
        <v>121</v>
      </c>
      <c r="B7" s="10" t="n">
        <v>657</v>
      </c>
      <c r="C7" s="10" t="n">
        <v>753</v>
      </c>
      <c r="D7" s="10" t="n">
        <v>1068</v>
      </c>
      <c r="E7" s="10" t="n">
        <v>1527</v>
      </c>
      <c r="F7" s="10" t="n">
        <v>1651</v>
      </c>
      <c r="G7" s="11" t="s">
        <v>119</v>
      </c>
    </row>
    <row r="8" customFormat="false" ht="18.75" hidden="false" customHeight="true" outlineLevel="0" collapsed="false">
      <c r="A8" s="5" t="s">
        <v>122</v>
      </c>
      <c r="B8" s="12" t="n">
        <v>176</v>
      </c>
      <c r="C8" s="12" t="n">
        <v>149</v>
      </c>
      <c r="D8" s="12" t="n">
        <v>185</v>
      </c>
      <c r="E8" s="12" t="n">
        <v>236</v>
      </c>
      <c r="F8" s="12" t="n">
        <v>561</v>
      </c>
      <c r="G8" s="11" t="s">
        <v>119</v>
      </c>
    </row>
    <row r="9" customFormat="false" ht="18.75" hidden="false" customHeight="true" outlineLevel="0" collapsed="false">
      <c r="A9" s="6" t="s">
        <v>123</v>
      </c>
      <c r="B9" s="10" t="n">
        <v>182527</v>
      </c>
      <c r="C9" s="10" t="n">
        <v>257637</v>
      </c>
      <c r="D9" s="10" t="n">
        <v>282836</v>
      </c>
      <c r="E9" s="10" t="n">
        <v>307394</v>
      </c>
      <c r="F9" s="10" t="n">
        <v>350018</v>
      </c>
      <c r="G9" s="11" t="s">
        <v>119</v>
      </c>
    </row>
    <row r="10" customFormat="false" ht="18.75" hidden="false" customHeight="true" outlineLevel="0" collapsed="false">
      <c r="A10" s="5" t="s">
        <v>124</v>
      </c>
      <c r="B10" s="14"/>
      <c r="C10" s="13" t="n">
        <v>0.471</v>
      </c>
      <c r="D10" s="13" t="n">
        <v>0.369</v>
      </c>
      <c r="E10" s="13" t="n">
        <v>0.258</v>
      </c>
      <c r="F10" s="13" t="n">
        <v>0.306</v>
      </c>
      <c r="G10" s="11" t="s">
        <v>119</v>
      </c>
    </row>
    <row r="12" customFormat="false" ht="15" hidden="false" customHeight="true" outlineLevel="0" collapsed="false">
      <c r="A12" s="9" t="s">
        <v>46</v>
      </c>
    </row>
    <row r="13" customFormat="false" ht="18.75" hidden="false" customHeight="true" outlineLevel="0" collapsed="false">
      <c r="A13" s="6" t="s">
        <v>125</v>
      </c>
      <c r="B13" s="10" t="n">
        <v>54606</v>
      </c>
      <c r="C13" s="10" t="n">
        <v>91774</v>
      </c>
      <c r="D13" s="10" t="n">
        <v>83000</v>
      </c>
      <c r="E13" s="10" t="n">
        <v>95858</v>
      </c>
      <c r="F13" s="10" t="n">
        <v>116345</v>
      </c>
      <c r="G13" s="11" t="s">
        <v>119</v>
      </c>
    </row>
    <row r="14" customFormat="false" ht="18.75" hidden="false" customHeight="true" outlineLevel="0" collapsed="false">
      <c r="A14" s="5" t="s">
        <v>126</v>
      </c>
      <c r="B14" s="13" t="n">
        <v>0.323</v>
      </c>
      <c r="C14" s="13" t="n">
        <v>0.387</v>
      </c>
      <c r="D14" s="13" t="n">
        <v>0.328</v>
      </c>
      <c r="E14" s="13" t="n">
        <v>0.352</v>
      </c>
      <c r="F14" s="13" t="n">
        <v>0.378</v>
      </c>
      <c r="G14" s="11" t="s">
        <v>119</v>
      </c>
    </row>
    <row r="15" customFormat="false" ht="18.75" hidden="false" customHeight="true" outlineLevel="0" collapsed="false">
      <c r="A15" s="6" t="s">
        <v>127</v>
      </c>
      <c r="B15" s="10" t="n">
        <v>-5607</v>
      </c>
      <c r="C15" s="10" t="n">
        <v>-3099</v>
      </c>
      <c r="D15" s="10" t="n">
        <v>-699</v>
      </c>
      <c r="E15" s="10" t="n">
        <v>1716</v>
      </c>
      <c r="F15" s="10" t="n">
        <v>9402</v>
      </c>
      <c r="G15" s="11" t="s">
        <v>119</v>
      </c>
    </row>
    <row r="16" customFormat="false" ht="18.75" hidden="false" customHeight="true" outlineLevel="0" collapsed="false">
      <c r="A16" s="5" t="s">
        <v>128</v>
      </c>
      <c r="B16" s="13" t="n">
        <v>-0.429</v>
      </c>
      <c r="C16" s="13" t="n">
        <v>-0.161</v>
      </c>
      <c r="D16" s="13" t="n">
        <v>-0.027</v>
      </c>
      <c r="E16" s="13" t="n">
        <v>0.052</v>
      </c>
      <c r="F16" s="13" t="n">
        <v>0.218</v>
      </c>
      <c r="G16" s="11" t="s">
        <v>119</v>
      </c>
    </row>
    <row r="17" customFormat="false" ht="18.75" hidden="false" customHeight="true" outlineLevel="0" collapsed="false">
      <c r="A17" s="6" t="s">
        <v>129</v>
      </c>
      <c r="B17" s="10" t="n">
        <v>-4476</v>
      </c>
      <c r="C17" s="10" t="n">
        <v>-5281</v>
      </c>
      <c r="D17" s="10" t="n">
        <v>-6083</v>
      </c>
      <c r="E17" s="10" t="n">
        <v>-4061</v>
      </c>
      <c r="F17" s="10" t="n">
        <v>-3847</v>
      </c>
      <c r="G17" s="11" t="s">
        <v>119</v>
      </c>
    </row>
    <row r="18" customFormat="false" ht="18.75" hidden="false" customHeight="true" outlineLevel="0" collapsed="false">
      <c r="A18" s="5" t="s">
        <v>130</v>
      </c>
      <c r="B18" s="12" t="n">
        <v>-3299</v>
      </c>
      <c r="C18" s="12" t="n">
        <v>-4680</v>
      </c>
      <c r="D18" s="12" t="n">
        <v>-2376</v>
      </c>
      <c r="E18" s="12" t="n">
        <v>-6720</v>
      </c>
      <c r="F18" s="12" t="n">
        <v>-3510</v>
      </c>
      <c r="G18" s="11" t="s">
        <v>119</v>
      </c>
    </row>
    <row r="19" customFormat="false" ht="18.75" hidden="false" customHeight="true" outlineLevel="0" collapsed="false">
      <c r="A19" s="6" t="s">
        <v>131</v>
      </c>
      <c r="B19" s="10" t="n">
        <v>41224</v>
      </c>
      <c r="C19" s="10" t="n">
        <v>78714</v>
      </c>
      <c r="D19" s="10" t="n">
        <v>74842</v>
      </c>
      <c r="E19" s="10" t="n">
        <v>84293</v>
      </c>
      <c r="F19" s="10" t="n">
        <v>112390</v>
      </c>
      <c r="G19" s="11" t="s">
        <v>119</v>
      </c>
    </row>
    <row r="21" customFormat="false" ht="15" hidden="false" customHeight="true" outlineLevel="0" collapsed="false">
      <c r="A21" s="9" t="s">
        <v>132</v>
      </c>
    </row>
    <row r="22" customFormat="false" ht="18.75" hidden="false" customHeight="true" outlineLevel="0" collapsed="false">
      <c r="A22" s="5" t="s">
        <v>133</v>
      </c>
      <c r="B22" s="12" t="n">
        <v>13059</v>
      </c>
      <c r="C22" s="12" t="n">
        <v>19206</v>
      </c>
      <c r="D22" s="12" t="n">
        <v>26280</v>
      </c>
      <c r="E22" s="12" t="n">
        <v>33088</v>
      </c>
      <c r="F22" s="12" t="n">
        <v>43228</v>
      </c>
      <c r="G22" s="11" t="s">
        <v>119</v>
      </c>
    </row>
    <row r="23" customFormat="false" ht="18.75" hidden="false" customHeight="true" outlineLevel="0" collapsed="false">
      <c r="A23" s="6" t="s">
        <v>128</v>
      </c>
      <c r="B23" s="15" t="n">
        <v>-0.429</v>
      </c>
      <c r="C23" s="15" t="n">
        <v>-0.161</v>
      </c>
      <c r="D23" s="15" t="n">
        <v>-0.027</v>
      </c>
      <c r="E23" s="15" t="n">
        <v>0.052</v>
      </c>
      <c r="F23" s="15" t="n">
        <v>0.218</v>
      </c>
      <c r="G23" s="11" t="s">
        <v>119</v>
      </c>
    </row>
    <row r="24" customFormat="false" ht="18.75" hidden="false" customHeight="true" outlineLevel="0" collapsed="false">
      <c r="A24" s="5" t="s">
        <v>134</v>
      </c>
      <c r="B24" s="13" t="n">
        <v>0.072</v>
      </c>
      <c r="C24" s="13" t="n">
        <v>0.075</v>
      </c>
      <c r="D24" s="13" t="n">
        <v>0.093</v>
      </c>
      <c r="E24" s="13" t="n">
        <v>0.108</v>
      </c>
      <c r="F24" s="13" t="n">
        <v>0.124</v>
      </c>
      <c r="G24" s="11" t="s">
        <v>119</v>
      </c>
    </row>
    <row r="25" customFormat="false" ht="18.75" hidden="false" customHeight="true" outlineLevel="0" collapsed="false">
      <c r="A25" s="6" t="s">
        <v>135</v>
      </c>
      <c r="B25" s="14"/>
      <c r="C25" s="14"/>
      <c r="D25" s="14"/>
      <c r="E25" s="14"/>
      <c r="F25" s="15" t="n">
        <v>0.349</v>
      </c>
      <c r="G25" s="11" t="s">
        <v>119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40"/>
    <col collapsed="false" customWidth="true" hidden="false" outlineLevel="0" max="7" min="7" style="1" width="60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16" t="s">
        <v>136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true" outlineLevel="0" collapsed="false">
      <c r="A3" s="17" t="s">
        <v>137</v>
      </c>
      <c r="B3" s="17" t="s">
        <v>138</v>
      </c>
      <c r="C3" s="17" t="s">
        <v>139</v>
      </c>
      <c r="D3" s="17" t="s">
        <v>140</v>
      </c>
      <c r="E3" s="17" t="s">
        <v>141</v>
      </c>
      <c r="F3" s="17" t="s">
        <v>142</v>
      </c>
      <c r="G3" s="17" t="s">
        <v>143</v>
      </c>
      <c r="H3" s="17" t="s">
        <v>29</v>
      </c>
    </row>
    <row r="4" customFormat="false" ht="15" hidden="false" customHeight="true" outlineLevel="0" collapsed="false">
      <c r="A4" s="18" t="s">
        <v>144</v>
      </c>
      <c r="B4" s="18" t="s">
        <v>145</v>
      </c>
      <c r="C4" s="19" t="n">
        <v>100</v>
      </c>
      <c r="D4" s="20"/>
      <c r="E4" s="20"/>
      <c r="F4" s="18" t="s">
        <v>146</v>
      </c>
      <c r="G4" s="18" t="s">
        <v>147</v>
      </c>
      <c r="H4" s="18" t="s">
        <v>148</v>
      </c>
    </row>
    <row r="5" customFormat="false" ht="15" hidden="false" customHeight="true" outlineLevel="0" collapsed="false">
      <c r="A5" s="6" t="s">
        <v>149</v>
      </c>
      <c r="B5" s="6" t="s">
        <v>150</v>
      </c>
      <c r="C5" s="10" t="n">
        <v>130</v>
      </c>
      <c r="D5" s="10" t="n">
        <v>1700</v>
      </c>
      <c r="E5" s="14"/>
      <c r="F5" s="6" t="s">
        <v>151</v>
      </c>
      <c r="G5" s="6" t="s">
        <v>152</v>
      </c>
      <c r="H5" s="6" t="s">
        <v>153</v>
      </c>
    </row>
    <row r="6" customFormat="false" ht="15" hidden="false" customHeight="true" outlineLevel="0" collapsed="false">
      <c r="A6" s="18" t="s">
        <v>154</v>
      </c>
      <c r="B6" s="18" t="s">
        <v>155</v>
      </c>
      <c r="C6" s="19" t="n">
        <v>120</v>
      </c>
      <c r="D6" s="19" t="n">
        <v>1700</v>
      </c>
      <c r="E6" s="20"/>
      <c r="F6" s="18" t="s">
        <v>151</v>
      </c>
      <c r="G6" s="18" t="s">
        <v>156</v>
      </c>
      <c r="H6" s="18" t="s">
        <v>153</v>
      </c>
    </row>
    <row r="7" customFormat="false" ht="15" hidden="false" customHeight="true" outlineLevel="0" collapsed="false">
      <c r="A7" s="6" t="s">
        <v>157</v>
      </c>
      <c r="B7" s="6" t="s">
        <v>158</v>
      </c>
      <c r="C7" s="10" t="n">
        <v>250</v>
      </c>
      <c r="D7" s="10" t="n">
        <v>6000</v>
      </c>
      <c r="E7" s="14"/>
      <c r="F7" s="6" t="s">
        <v>159</v>
      </c>
      <c r="G7" s="6" t="s">
        <v>160</v>
      </c>
      <c r="H7" s="6" t="s">
        <v>161</v>
      </c>
    </row>
    <row r="8" customFormat="false" ht="15" hidden="false" customHeight="true" outlineLevel="0" collapsed="false">
      <c r="A8" s="18" t="s">
        <v>162</v>
      </c>
      <c r="B8" s="18" t="s">
        <v>26</v>
      </c>
      <c r="C8" s="19" t="n">
        <v>100</v>
      </c>
      <c r="D8" s="20"/>
      <c r="E8" s="20"/>
      <c r="F8" s="18" t="s">
        <v>163</v>
      </c>
      <c r="G8" s="18" t="s">
        <v>164</v>
      </c>
      <c r="H8" s="18" t="s">
        <v>165</v>
      </c>
    </row>
    <row r="9" customFormat="false" ht="15" hidden="false" customHeight="true" outlineLevel="0" collapsed="false">
      <c r="A9" s="6" t="s">
        <v>166</v>
      </c>
      <c r="B9" s="6" t="s">
        <v>167</v>
      </c>
      <c r="C9" s="10" t="n">
        <v>300</v>
      </c>
      <c r="D9" s="10" t="n">
        <v>10000</v>
      </c>
      <c r="E9" s="21" t="n">
        <v>28.5</v>
      </c>
      <c r="F9" s="6" t="s">
        <v>168</v>
      </c>
      <c r="G9" s="6" t="s">
        <v>169</v>
      </c>
      <c r="H9" s="6" t="s">
        <v>170</v>
      </c>
    </row>
    <row r="10" customFormat="false" ht="15" hidden="false" customHeight="true" outlineLevel="0" collapsed="false">
      <c r="A10" s="18" t="s">
        <v>171</v>
      </c>
      <c r="B10" s="18" t="s">
        <v>172</v>
      </c>
      <c r="C10" s="19" t="n">
        <v>1000</v>
      </c>
      <c r="D10" s="19" t="n">
        <v>12000</v>
      </c>
      <c r="E10" s="22" t="n">
        <v>24</v>
      </c>
      <c r="F10" s="18" t="s">
        <v>173</v>
      </c>
      <c r="G10" s="18" t="s">
        <v>174</v>
      </c>
      <c r="H10" s="18" t="s">
        <v>175</v>
      </c>
    </row>
    <row r="11" customFormat="false" ht="15" hidden="false" customHeight="true" outlineLevel="0" collapsed="false">
      <c r="A11" s="23" t="s">
        <v>176</v>
      </c>
      <c r="B11" s="24" t="s">
        <v>177</v>
      </c>
      <c r="C11" s="25" t="n">
        <v>32000</v>
      </c>
      <c r="D11" s="25" t="n">
        <v>32000</v>
      </c>
      <c r="E11" s="26"/>
      <c r="F11" s="24" t="s">
        <v>178</v>
      </c>
      <c r="G11" s="24" t="s">
        <v>179</v>
      </c>
      <c r="H11" s="24" t="s">
        <v>180</v>
      </c>
    </row>
    <row r="13" customFormat="false" ht="15" hidden="false" customHeight="true" outlineLevel="0" collapsed="false">
      <c r="A13" s="27" t="s">
        <v>181</v>
      </c>
      <c r="C13" s="10" t="n">
        <v>1900</v>
      </c>
    </row>
    <row r="14" customFormat="false" ht="15" hidden="false" customHeight="true" outlineLevel="0" collapsed="false">
      <c r="A14" s="27" t="s">
        <v>182</v>
      </c>
      <c r="C14" s="28" t="n">
        <f aca="false">32000/12000</f>
        <v>2.66666666666667</v>
      </c>
    </row>
    <row r="15" customFormat="false" ht="15" hidden="false" customHeight="true" outlineLevel="0" collapsed="false">
      <c r="A15" s="3" t="s">
        <v>183</v>
      </c>
      <c r="B15" s="3"/>
      <c r="C15" s="3"/>
      <c r="D15" s="3"/>
      <c r="E15" s="3"/>
      <c r="F15" s="3"/>
      <c r="G15" s="3"/>
      <c r="H15" s="3"/>
    </row>
  </sheetData>
  <mergeCells count="2">
    <mergeCell ref="A1:I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56"/>
  </cols>
  <sheetData>
    <row r="1" customFormat="false" ht="27.75" hidden="false" customHeight="true" outlineLevel="0" collapsed="false">
      <c r="A1" s="16" t="s">
        <v>184</v>
      </c>
      <c r="B1" s="16"/>
      <c r="C1" s="16"/>
      <c r="D1" s="16"/>
      <c r="E1" s="16"/>
      <c r="F1" s="16"/>
    </row>
    <row r="3" customFormat="false" ht="15" hidden="false" customHeight="true" outlineLevel="0" collapsed="false">
      <c r="A3" s="17" t="s">
        <v>185</v>
      </c>
      <c r="B3" s="17" t="s">
        <v>186</v>
      </c>
      <c r="C3" s="17" t="s">
        <v>187</v>
      </c>
      <c r="D3" s="17" t="s">
        <v>188</v>
      </c>
      <c r="E3" s="17" t="s">
        <v>189</v>
      </c>
      <c r="F3" s="17" t="s">
        <v>190</v>
      </c>
    </row>
    <row r="4" customFormat="false" ht="15" hidden="false" customHeight="true" outlineLevel="0" collapsed="false">
      <c r="A4" s="18" t="s">
        <v>191</v>
      </c>
      <c r="B4" s="20"/>
      <c r="C4" s="20"/>
      <c r="D4" s="29" t="n">
        <v>4</v>
      </c>
      <c r="E4" s="20"/>
      <c r="F4" s="18" t="s">
        <v>192</v>
      </c>
    </row>
    <row r="5" customFormat="false" ht="15" hidden="false" customHeight="true" outlineLevel="0" collapsed="false">
      <c r="A5" s="6" t="s">
        <v>193</v>
      </c>
      <c r="B5" s="10" t="n">
        <v>1</v>
      </c>
      <c r="C5" s="14"/>
      <c r="D5" s="30" t="n">
        <v>50</v>
      </c>
      <c r="E5" s="14"/>
      <c r="F5" s="6" t="s">
        <v>194</v>
      </c>
    </row>
    <row r="6" customFormat="false" ht="15" hidden="false" customHeight="true" outlineLevel="0" collapsed="false">
      <c r="A6" s="18" t="s">
        <v>195</v>
      </c>
      <c r="B6" s="19" t="n">
        <v>100</v>
      </c>
      <c r="C6" s="20"/>
      <c r="D6" s="29" t="n">
        <v>500</v>
      </c>
      <c r="E6" s="31" t="n">
        <v>0.25</v>
      </c>
      <c r="F6" s="18" t="s">
        <v>196</v>
      </c>
    </row>
    <row r="7" customFormat="false" ht="15" hidden="false" customHeight="true" outlineLevel="0" collapsed="false">
      <c r="A7" s="6" t="s">
        <v>197</v>
      </c>
      <c r="B7" s="14"/>
      <c r="C7" s="14"/>
      <c r="D7" s="30" t="n">
        <v>700</v>
      </c>
      <c r="E7" s="15" t="n">
        <v>0.3</v>
      </c>
      <c r="F7" s="6" t="s">
        <v>198</v>
      </c>
    </row>
    <row r="8" customFormat="false" ht="15" hidden="false" customHeight="true" outlineLevel="0" collapsed="false">
      <c r="A8" s="18" t="s">
        <v>199</v>
      </c>
      <c r="B8" s="19" t="n">
        <v>200</v>
      </c>
      <c r="C8" s="31" t="n">
        <v>1</v>
      </c>
      <c r="D8" s="29" t="n">
        <v>900</v>
      </c>
      <c r="E8" s="31" t="n">
        <v>0.35</v>
      </c>
      <c r="F8" s="18" t="s">
        <v>200</v>
      </c>
    </row>
    <row r="9" customFormat="false" ht="15" hidden="false" customHeight="true" outlineLevel="0" collapsed="false">
      <c r="A9" s="6" t="s">
        <v>201</v>
      </c>
      <c r="B9" s="10" t="n">
        <v>350</v>
      </c>
      <c r="C9" s="15" t="n">
        <v>0.75</v>
      </c>
      <c r="D9" s="30" t="n">
        <v>1500</v>
      </c>
      <c r="E9" s="15" t="n">
        <v>0.4</v>
      </c>
      <c r="F9" s="6" t="s">
        <v>202</v>
      </c>
    </row>
    <row r="10" customFormat="false" ht="15" hidden="false" customHeight="true" outlineLevel="0" collapsed="false">
      <c r="A10" s="18" t="s">
        <v>172</v>
      </c>
      <c r="B10" s="19" t="n">
        <v>500</v>
      </c>
      <c r="C10" s="20"/>
      <c r="D10" s="29" t="n">
        <v>1800</v>
      </c>
      <c r="E10" s="31" t="n">
        <v>0.45</v>
      </c>
      <c r="F10" s="18" t="s">
        <v>203</v>
      </c>
    </row>
    <row r="11" customFormat="false" ht="15" hidden="false" customHeight="true" outlineLevel="0" collapsed="false">
      <c r="A11" s="6" t="s">
        <v>204</v>
      </c>
      <c r="B11" s="14"/>
      <c r="C11" s="14"/>
      <c r="D11" s="30" t="n">
        <v>1995</v>
      </c>
      <c r="E11" s="14"/>
      <c r="F11" s="6" t="s">
        <v>205</v>
      </c>
    </row>
    <row r="12" customFormat="false" ht="15" hidden="false" customHeight="true" outlineLevel="0" collapsed="false">
      <c r="A12" s="18" t="s">
        <v>206</v>
      </c>
      <c r="B12" s="20"/>
      <c r="C12" s="20"/>
      <c r="D12" s="20"/>
      <c r="E12" s="20"/>
      <c r="F12" s="18" t="s">
        <v>207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6"/>
    <col collapsed="false" customWidth="true" hidden="false" outlineLevel="0" max="3" min="3" style="1" width="52"/>
  </cols>
  <sheetData>
    <row r="1" customFormat="false" ht="27.75" hidden="false" customHeight="true" outlineLevel="0" collapsed="false">
      <c r="A1" s="32" t="s">
        <v>208</v>
      </c>
      <c r="B1" s="32"/>
      <c r="C1" s="32"/>
    </row>
    <row r="3" customFormat="false" ht="15" hidden="false" customHeight="true" outlineLevel="0" collapsed="false">
      <c r="A3" s="33" t="s">
        <v>209</v>
      </c>
      <c r="B3" s="33" t="s">
        <v>210</v>
      </c>
      <c r="C3" s="8" t="s">
        <v>190</v>
      </c>
    </row>
    <row r="4" customFormat="false" ht="15" hidden="false" customHeight="true" outlineLevel="0" collapsed="false">
      <c r="A4" s="34" t="s">
        <v>211</v>
      </c>
      <c r="B4" s="35"/>
      <c r="C4" s="14"/>
    </row>
    <row r="5" customFormat="false" ht="15" hidden="false" customHeight="true" outlineLevel="0" collapsed="false">
      <c r="A5" s="6" t="s">
        <v>212</v>
      </c>
      <c r="B5" s="6" t="s">
        <v>213</v>
      </c>
      <c r="C5" s="14"/>
    </row>
    <row r="6" customFormat="false" ht="15" hidden="false" customHeight="true" outlineLevel="0" collapsed="false">
      <c r="A6" s="36" t="s">
        <v>214</v>
      </c>
      <c r="B6" s="36" t="s">
        <v>215</v>
      </c>
      <c r="C6" s="14"/>
    </row>
    <row r="7" customFormat="false" ht="15" hidden="false" customHeight="true" outlineLevel="0" collapsed="false">
      <c r="A7" s="6" t="s">
        <v>216</v>
      </c>
      <c r="B7" s="6" t="s">
        <v>217</v>
      </c>
      <c r="C7" s="14"/>
    </row>
    <row r="8" customFormat="false" ht="15" hidden="false" customHeight="true" outlineLevel="0" collapsed="false">
      <c r="A8" s="36" t="s">
        <v>218</v>
      </c>
      <c r="B8" s="36" t="s">
        <v>219</v>
      </c>
      <c r="C8" s="14"/>
    </row>
    <row r="9" customFormat="false" ht="15" hidden="false" customHeight="true" outlineLevel="0" collapsed="false">
      <c r="A9" s="6" t="s">
        <v>220</v>
      </c>
      <c r="B9" s="6" t="s">
        <v>221</v>
      </c>
      <c r="C9" s="11" t="s">
        <v>153</v>
      </c>
    </row>
    <row r="10" customFormat="false" ht="15" hidden="false" customHeight="true" outlineLevel="0" collapsed="false">
      <c r="A10" s="36" t="s">
        <v>222</v>
      </c>
      <c r="B10" s="37" t="n">
        <v>32000</v>
      </c>
      <c r="C10" s="11" t="s">
        <v>223</v>
      </c>
    </row>
    <row r="11" customFormat="false" ht="15" hidden="false" customHeight="true" outlineLevel="0" collapsed="false">
      <c r="A11" s="6" t="s">
        <v>224</v>
      </c>
      <c r="B11" s="10" t="n">
        <v>32000</v>
      </c>
      <c r="C11" s="11" t="s">
        <v>225</v>
      </c>
    </row>
    <row r="13" customFormat="false" ht="15" hidden="false" customHeight="true" outlineLevel="0" collapsed="false">
      <c r="A13" s="34" t="s">
        <v>226</v>
      </c>
      <c r="B13" s="35"/>
      <c r="C13" s="14"/>
    </row>
    <row r="14" customFormat="false" ht="15" hidden="false" customHeight="true" outlineLevel="0" collapsed="false">
      <c r="A14" s="36" t="s">
        <v>227</v>
      </c>
      <c r="B14" s="38" t="s">
        <v>228</v>
      </c>
      <c r="C14" s="11" t="s">
        <v>229</v>
      </c>
    </row>
    <row r="15" customFormat="false" ht="15" hidden="false" customHeight="true" outlineLevel="0" collapsed="false">
      <c r="A15" s="6" t="s">
        <v>230</v>
      </c>
      <c r="B15" s="38" t="s">
        <v>228</v>
      </c>
      <c r="C15" s="11" t="s">
        <v>231</v>
      </c>
    </row>
    <row r="16" customFormat="false" ht="15" hidden="false" customHeight="true" outlineLevel="0" collapsed="false">
      <c r="A16" s="36" t="s">
        <v>232</v>
      </c>
      <c r="B16" s="37" t="n">
        <v>12000</v>
      </c>
      <c r="C16" s="11" t="s">
        <v>233</v>
      </c>
    </row>
    <row r="17" customFormat="false" ht="15" hidden="false" customHeight="true" outlineLevel="0" collapsed="false">
      <c r="A17" s="6" t="s">
        <v>234</v>
      </c>
      <c r="B17" s="38" t="s">
        <v>228</v>
      </c>
      <c r="C17" s="11" t="s">
        <v>235</v>
      </c>
    </row>
    <row r="18" customFormat="false" ht="15" hidden="false" customHeight="true" outlineLevel="0" collapsed="false">
      <c r="A18" s="36" t="s">
        <v>236</v>
      </c>
      <c r="B18" s="37" t="n">
        <v>110174</v>
      </c>
      <c r="C18" s="11" t="s">
        <v>237</v>
      </c>
    </row>
    <row r="19" customFormat="false" ht="15" hidden="false" customHeight="true" outlineLevel="0" collapsed="false">
      <c r="A19" s="6" t="s">
        <v>238</v>
      </c>
      <c r="B19" s="38" t="s">
        <v>228</v>
      </c>
      <c r="C19" s="11" t="s">
        <v>239</v>
      </c>
    </row>
    <row r="20" customFormat="false" ht="15" hidden="false" customHeight="true" outlineLevel="0" collapsed="false">
      <c r="A20" s="36" t="s">
        <v>240</v>
      </c>
      <c r="B20" s="38" t="s">
        <v>228</v>
      </c>
      <c r="C20" s="11" t="s">
        <v>241</v>
      </c>
    </row>
    <row r="22" customFormat="false" ht="15" hidden="false" customHeight="true" outlineLevel="0" collapsed="false">
      <c r="A22" s="34" t="s">
        <v>242</v>
      </c>
      <c r="B22" s="35"/>
      <c r="C22" s="14"/>
    </row>
    <row r="23" customFormat="false" ht="15" hidden="false" customHeight="true" outlineLevel="0" collapsed="false">
      <c r="A23" s="6" t="s">
        <v>243</v>
      </c>
      <c r="B23" s="6" t="s">
        <v>244</v>
      </c>
      <c r="C23" s="14"/>
    </row>
    <row r="24" customFormat="false" ht="15" hidden="false" customHeight="true" outlineLevel="0" collapsed="false">
      <c r="A24" s="36" t="s">
        <v>245</v>
      </c>
      <c r="B24" s="37" t="n">
        <v>3200</v>
      </c>
      <c r="C24" s="11" t="s">
        <v>246</v>
      </c>
    </row>
    <row r="25" customFormat="false" ht="15" hidden="false" customHeight="true" outlineLevel="0" collapsed="false">
      <c r="A25" s="6" t="s">
        <v>247</v>
      </c>
      <c r="B25" s="6" t="s">
        <v>248</v>
      </c>
      <c r="C25" s="14"/>
    </row>
    <row r="26" customFormat="false" ht="15" hidden="false" customHeight="true" outlineLevel="0" collapsed="false">
      <c r="A26" s="36" t="s">
        <v>249</v>
      </c>
      <c r="B26" s="36" t="s">
        <v>250</v>
      </c>
      <c r="C26" s="14"/>
    </row>
    <row r="27" customFormat="false" ht="15" hidden="false" customHeight="true" outlineLevel="0" collapsed="false">
      <c r="A27" s="6" t="s">
        <v>251</v>
      </c>
      <c r="B27" s="6" t="s">
        <v>252</v>
      </c>
      <c r="C27" s="14"/>
    </row>
    <row r="29" customFormat="false" ht="15" hidden="false" customHeight="true" outlineLevel="0" collapsed="false">
      <c r="A29" s="34" t="s">
        <v>253</v>
      </c>
      <c r="B29" s="35"/>
      <c r="C29" s="14"/>
    </row>
    <row r="30" customFormat="false" ht="15" hidden="false" customHeight="true" outlineLevel="0" collapsed="false">
      <c r="A30" s="36" t="s">
        <v>254</v>
      </c>
      <c r="B30" s="36" t="s">
        <v>255</v>
      </c>
      <c r="C30" s="11" t="s">
        <v>256</v>
      </c>
    </row>
    <row r="31" customFormat="false" ht="15" hidden="false" customHeight="true" outlineLevel="0" collapsed="false">
      <c r="A31" s="6" t="s">
        <v>257</v>
      </c>
      <c r="B31" s="6" t="s">
        <v>258</v>
      </c>
      <c r="C31" s="11" t="s">
        <v>259</v>
      </c>
    </row>
    <row r="32" customFormat="false" ht="15" hidden="false" customHeight="true" outlineLevel="0" collapsed="false">
      <c r="A32" s="36" t="s">
        <v>260</v>
      </c>
      <c r="B32" s="36" t="s">
        <v>261</v>
      </c>
      <c r="C32" s="14"/>
    </row>
    <row r="34" customFormat="false" ht="15" hidden="false" customHeight="true" outlineLevel="0" collapsed="false">
      <c r="A34" s="34" t="s">
        <v>262</v>
      </c>
      <c r="B34" s="35"/>
      <c r="C34" s="14"/>
    </row>
    <row r="35" customFormat="false" ht="15" hidden="false" customHeight="true" outlineLevel="0" collapsed="false">
      <c r="A35" s="6" t="s">
        <v>263</v>
      </c>
      <c r="B35" s="6" t="s">
        <v>264</v>
      </c>
      <c r="C35" s="11" t="s">
        <v>265</v>
      </c>
    </row>
    <row r="36" customFormat="false" ht="15" hidden="false" customHeight="true" outlineLevel="0" collapsed="false">
      <c r="A36" s="36" t="s">
        <v>266</v>
      </c>
      <c r="B36" s="36" t="s">
        <v>267</v>
      </c>
      <c r="C36" s="14"/>
    </row>
    <row r="37" customFormat="false" ht="15" hidden="false" customHeight="true" outlineLevel="0" collapsed="false">
      <c r="A37" s="6" t="s">
        <v>268</v>
      </c>
      <c r="B37" s="6" t="s">
        <v>269</v>
      </c>
      <c r="C37" s="11" t="s">
        <v>270</v>
      </c>
    </row>
    <row r="38" customFormat="false" ht="15" hidden="false" customHeight="true" outlineLevel="0" collapsed="false">
      <c r="A38" s="36" t="s">
        <v>271</v>
      </c>
      <c r="B38" s="36" t="s">
        <v>272</v>
      </c>
      <c r="C38" s="11" t="s">
        <v>273</v>
      </c>
    </row>
    <row r="39" customFormat="false" ht="15" hidden="false" customHeight="true" outlineLevel="0" collapsed="false">
      <c r="A39" s="6" t="s">
        <v>274</v>
      </c>
      <c r="B39" s="6" t="s">
        <v>275</v>
      </c>
      <c r="C39" s="11" t="s">
        <v>153</v>
      </c>
    </row>
    <row r="40" customFormat="false" ht="15" hidden="false" customHeight="true" outlineLevel="0" collapsed="false">
      <c r="A40" s="36" t="s">
        <v>276</v>
      </c>
      <c r="B40" s="36" t="s">
        <v>277</v>
      </c>
      <c r="C40" s="11" t="s">
        <v>278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7" min="7" style="1" width="44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7" t="s">
        <v>279</v>
      </c>
      <c r="B1" s="7"/>
      <c r="C1" s="7"/>
      <c r="D1" s="7"/>
      <c r="E1" s="7"/>
      <c r="F1" s="7"/>
      <c r="G1" s="7"/>
      <c r="H1" s="7"/>
    </row>
    <row r="3" customFormat="false" ht="15" hidden="false" customHeight="true" outlineLevel="0" collapsed="false">
      <c r="A3" s="4" t="s">
        <v>280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8" t="s">
        <v>281</v>
      </c>
      <c r="B4" s="8" t="s">
        <v>282</v>
      </c>
      <c r="C4" s="8" t="s">
        <v>283</v>
      </c>
      <c r="D4" s="8" t="s">
        <v>284</v>
      </c>
      <c r="E4" s="8" t="s">
        <v>285</v>
      </c>
      <c r="F4" s="8" t="s">
        <v>286</v>
      </c>
      <c r="G4" s="8" t="s">
        <v>287</v>
      </c>
      <c r="H4" s="8" t="s">
        <v>29</v>
      </c>
    </row>
    <row r="5" customFormat="false" ht="15" hidden="false" customHeight="true" outlineLevel="0" collapsed="false">
      <c r="A5" s="5" t="s">
        <v>288</v>
      </c>
      <c r="B5" s="12" t="n">
        <v>8027</v>
      </c>
      <c r="C5" s="13" t="n">
        <v>0.16</v>
      </c>
      <c r="D5" s="13" t="n">
        <v>0.195</v>
      </c>
      <c r="E5" s="12" t="n">
        <v>132000</v>
      </c>
      <c r="F5" s="39" t="n">
        <v>16.4</v>
      </c>
      <c r="G5" s="39" t="n">
        <v>13.1</v>
      </c>
      <c r="H5" s="5" t="s">
        <v>289</v>
      </c>
    </row>
    <row r="6" customFormat="false" ht="15" hidden="false" customHeight="true" outlineLevel="0" collapsed="false">
      <c r="A6" s="6" t="s">
        <v>290</v>
      </c>
      <c r="B6" s="10" t="n">
        <v>3806</v>
      </c>
      <c r="C6" s="15" t="n">
        <v>0.29</v>
      </c>
      <c r="D6" s="15" t="n">
        <v>0.003</v>
      </c>
      <c r="E6" s="10" t="n">
        <v>90000</v>
      </c>
      <c r="F6" s="21" t="n">
        <v>23.6</v>
      </c>
      <c r="G6" s="21" t="n">
        <v>17.8</v>
      </c>
      <c r="H6" s="6" t="s">
        <v>289</v>
      </c>
    </row>
    <row r="7" customFormat="false" ht="15" hidden="false" customHeight="true" outlineLevel="0" collapsed="false">
      <c r="A7" s="5" t="s">
        <v>291</v>
      </c>
      <c r="B7" s="12" t="n">
        <v>2168</v>
      </c>
      <c r="C7" s="13" t="n">
        <v>0.34</v>
      </c>
      <c r="D7" s="13" t="n">
        <v>0.045</v>
      </c>
      <c r="E7" s="12" t="n">
        <v>28000</v>
      </c>
      <c r="F7" s="39" t="n">
        <v>12.9</v>
      </c>
      <c r="G7" s="39" t="n">
        <v>10.2</v>
      </c>
      <c r="H7" s="5" t="s">
        <v>289</v>
      </c>
    </row>
    <row r="8" customFormat="false" ht="15" hidden="false" customHeight="true" outlineLevel="0" collapsed="false">
      <c r="A8" s="6" t="s">
        <v>292</v>
      </c>
      <c r="B8" s="10" t="n">
        <v>5305</v>
      </c>
      <c r="C8" s="15" t="n">
        <v>0.1</v>
      </c>
      <c r="D8" s="15" t="n">
        <v>0.278</v>
      </c>
      <c r="E8" s="10" t="n">
        <v>55000</v>
      </c>
      <c r="F8" s="21" t="n">
        <v>10.4</v>
      </c>
      <c r="G8" s="21" t="n">
        <v>9.6</v>
      </c>
      <c r="H8" s="6" t="s">
        <v>289</v>
      </c>
    </row>
    <row r="9" customFormat="false" ht="15" hidden="false" customHeight="true" outlineLevel="0" collapsed="false">
      <c r="A9" s="5" t="s">
        <v>293</v>
      </c>
      <c r="B9" s="12" t="n">
        <v>1065</v>
      </c>
      <c r="C9" s="13" t="n">
        <v>0.33</v>
      </c>
      <c r="D9" s="13" t="n">
        <v>-0.062</v>
      </c>
      <c r="E9" s="12" t="n">
        <v>9000</v>
      </c>
      <c r="F9" s="39" t="n">
        <v>8.5</v>
      </c>
      <c r="G9" s="39" t="n">
        <v>6.4</v>
      </c>
      <c r="H9" s="5" t="s">
        <v>289</v>
      </c>
    </row>
    <row r="10" customFormat="false" ht="15" hidden="false" customHeight="true" outlineLevel="0" collapsed="false">
      <c r="A10" s="6" t="s">
        <v>294</v>
      </c>
      <c r="B10" s="10" t="n">
        <v>1625</v>
      </c>
      <c r="C10" s="15" t="n">
        <v>0.28</v>
      </c>
      <c r="D10" s="15" t="n">
        <v>-0.016</v>
      </c>
      <c r="E10" s="10" t="n">
        <v>40000</v>
      </c>
      <c r="F10" s="21" t="n">
        <v>24.6</v>
      </c>
      <c r="G10" s="21" t="n">
        <v>18.3</v>
      </c>
      <c r="H10" s="6" t="s">
        <v>289</v>
      </c>
    </row>
    <row r="11" customFormat="false" ht="15" hidden="false" customHeight="true" outlineLevel="0" collapsed="false">
      <c r="A11" s="5" t="s">
        <v>295</v>
      </c>
      <c r="B11" s="12" t="n">
        <v>2597</v>
      </c>
      <c r="C11" s="13" t="n">
        <v>0.19</v>
      </c>
      <c r="D11" s="13" t="n">
        <v>0.014</v>
      </c>
      <c r="E11" s="12" t="n">
        <v>14000</v>
      </c>
      <c r="F11" s="39" t="n">
        <v>5.4</v>
      </c>
      <c r="G11" s="39" t="n">
        <v>4.9</v>
      </c>
      <c r="H11" s="5" t="s">
        <v>289</v>
      </c>
    </row>
    <row r="12" customFormat="false" ht="15" hidden="false" customHeight="true" outlineLevel="0" collapsed="false">
      <c r="A12" s="23" t="s">
        <v>296</v>
      </c>
      <c r="B12" s="26"/>
      <c r="C12" s="26"/>
      <c r="D12" s="26"/>
      <c r="E12" s="25" t="n">
        <v>32000</v>
      </c>
      <c r="F12" s="26"/>
      <c r="G12" s="26"/>
      <c r="H12" s="24" t="s">
        <v>297</v>
      </c>
    </row>
    <row r="15" customFormat="false" ht="15" hidden="false" customHeight="true" outlineLevel="0" collapsed="false">
      <c r="A15" s="40" t="s">
        <v>298</v>
      </c>
      <c r="B15" s="40"/>
      <c r="C15" s="40"/>
      <c r="D15" s="40"/>
      <c r="E15" s="40"/>
      <c r="F15" s="40"/>
      <c r="G15" s="40"/>
      <c r="H15" s="40"/>
    </row>
    <row r="16" customFormat="false" ht="15" hidden="false" customHeight="true" outlineLevel="0" collapsed="false">
      <c r="A16" s="8" t="s">
        <v>299</v>
      </c>
      <c r="B16" s="8" t="s">
        <v>212</v>
      </c>
      <c r="C16" s="8" t="s">
        <v>214</v>
      </c>
      <c r="D16" s="8" t="s">
        <v>300</v>
      </c>
      <c r="E16" s="8" t="s">
        <v>285</v>
      </c>
      <c r="F16" s="8" t="s">
        <v>286</v>
      </c>
      <c r="G16" s="8" t="s">
        <v>301</v>
      </c>
      <c r="H16" s="8" t="s">
        <v>29</v>
      </c>
    </row>
    <row r="17" customFormat="false" ht="15" hidden="false" customHeight="true" outlineLevel="0" collapsed="false">
      <c r="A17" s="23" t="s">
        <v>302</v>
      </c>
      <c r="B17" s="24" t="s">
        <v>303</v>
      </c>
      <c r="C17" s="24" t="s">
        <v>304</v>
      </c>
      <c r="D17" s="41" t="n">
        <v>2025</v>
      </c>
      <c r="E17" s="25" t="n">
        <v>32000</v>
      </c>
      <c r="F17" s="42" t="n">
        <v>64</v>
      </c>
      <c r="G17" s="24" t="s">
        <v>305</v>
      </c>
      <c r="H17" s="11" t="s">
        <v>180</v>
      </c>
    </row>
    <row r="18" customFormat="false" ht="15" hidden="false" customHeight="true" outlineLevel="0" collapsed="false">
      <c r="A18" s="6" t="s">
        <v>306</v>
      </c>
      <c r="B18" s="6" t="s">
        <v>307</v>
      </c>
      <c r="C18" s="6" t="s">
        <v>308</v>
      </c>
      <c r="D18" s="30" t="n">
        <v>2025</v>
      </c>
      <c r="E18" s="10" t="n">
        <v>25000</v>
      </c>
      <c r="F18" s="21" t="n">
        <v>17.8</v>
      </c>
      <c r="G18" s="6" t="s">
        <v>309</v>
      </c>
      <c r="H18" s="11" t="s">
        <v>310</v>
      </c>
    </row>
    <row r="19" customFormat="false" ht="15" hidden="false" customHeight="true" outlineLevel="0" collapsed="false">
      <c r="A19" s="5" t="s">
        <v>311</v>
      </c>
      <c r="B19" s="5" t="s">
        <v>312</v>
      </c>
      <c r="C19" s="5" t="s">
        <v>313</v>
      </c>
      <c r="D19" s="43" t="n">
        <v>2024</v>
      </c>
      <c r="E19" s="12" t="n">
        <v>28000</v>
      </c>
      <c r="F19" s="39" t="n">
        <v>7.4</v>
      </c>
      <c r="G19" s="5" t="s">
        <v>314</v>
      </c>
      <c r="H19" s="11" t="s">
        <v>315</v>
      </c>
    </row>
    <row r="20" customFormat="false" ht="15" hidden="false" customHeight="true" outlineLevel="0" collapsed="false">
      <c r="A20" s="6" t="s">
        <v>316</v>
      </c>
      <c r="B20" s="6" t="s">
        <v>303</v>
      </c>
      <c r="C20" s="6" t="s">
        <v>317</v>
      </c>
      <c r="D20" s="30" t="n">
        <v>2022</v>
      </c>
      <c r="E20" s="10" t="n">
        <v>5400</v>
      </c>
      <c r="F20" s="21" t="n">
        <v>8.2</v>
      </c>
      <c r="G20" s="6" t="s">
        <v>318</v>
      </c>
      <c r="H20" s="11" t="s">
        <v>315</v>
      </c>
    </row>
    <row r="21" customFormat="false" ht="15" hidden="false" customHeight="true" outlineLevel="0" collapsed="false">
      <c r="A21" s="5" t="s">
        <v>319</v>
      </c>
      <c r="B21" s="5" t="s">
        <v>320</v>
      </c>
      <c r="C21" s="5" t="s">
        <v>321</v>
      </c>
      <c r="D21" s="43" t="n">
        <v>2019</v>
      </c>
      <c r="E21" s="12" t="n">
        <v>9000</v>
      </c>
      <c r="F21" s="39" t="n">
        <v>5.2</v>
      </c>
      <c r="G21" s="5" t="s">
        <v>322</v>
      </c>
      <c r="H21" s="11" t="s">
        <v>315</v>
      </c>
    </row>
    <row r="22" customFormat="false" ht="15" hidden="false" customHeight="true" outlineLevel="0" collapsed="false">
      <c r="A22" s="6" t="s">
        <v>323</v>
      </c>
      <c r="B22" s="6" t="s">
        <v>307</v>
      </c>
      <c r="C22" s="6" t="s">
        <v>324</v>
      </c>
      <c r="D22" s="30" t="n">
        <v>2024</v>
      </c>
      <c r="E22" s="10" t="n">
        <v>350</v>
      </c>
      <c r="F22" s="14"/>
      <c r="G22" s="6" t="s">
        <v>325</v>
      </c>
      <c r="H22" s="11" t="s">
        <v>326</v>
      </c>
    </row>
    <row r="23" customFormat="false" ht="15" hidden="false" customHeight="true" outlineLevel="0" collapsed="false">
      <c r="A23" s="5" t="s">
        <v>327</v>
      </c>
      <c r="B23" s="5" t="s">
        <v>291</v>
      </c>
      <c r="C23" s="5" t="s">
        <v>328</v>
      </c>
      <c r="D23" s="43" t="n">
        <v>2024</v>
      </c>
      <c r="E23" s="12" t="n">
        <v>250</v>
      </c>
      <c r="F23" s="44"/>
      <c r="G23" s="5" t="s">
        <v>329</v>
      </c>
      <c r="H23" s="11" t="s">
        <v>330</v>
      </c>
    </row>
    <row r="24" customFormat="false" ht="15" hidden="false" customHeight="true" outlineLevel="0" collapsed="false">
      <c r="A24" s="6" t="s">
        <v>331</v>
      </c>
      <c r="B24" s="6" t="s">
        <v>332</v>
      </c>
      <c r="C24" s="6" t="s">
        <v>333</v>
      </c>
      <c r="D24" s="30" t="n">
        <v>2022</v>
      </c>
      <c r="E24" s="10" t="n">
        <v>500</v>
      </c>
      <c r="F24" s="14"/>
      <c r="G24" s="6" t="s">
        <v>334</v>
      </c>
      <c r="H24" s="11" t="s">
        <v>330</v>
      </c>
    </row>
    <row r="25" customFormat="false" ht="15" hidden="false" customHeight="true" outlineLevel="0" collapsed="false">
      <c r="A25" s="5" t="s">
        <v>335</v>
      </c>
      <c r="B25" s="5" t="s">
        <v>336</v>
      </c>
      <c r="C25" s="5" t="s">
        <v>337</v>
      </c>
      <c r="D25" s="43" t="n">
        <v>2021</v>
      </c>
      <c r="E25" s="12" t="n">
        <v>500</v>
      </c>
      <c r="F25" s="44"/>
      <c r="G25" s="5" t="s">
        <v>338</v>
      </c>
      <c r="H25" s="11" t="s">
        <v>330</v>
      </c>
    </row>
  </sheetData>
  <mergeCells count="3">
    <mergeCell ref="A1:H1"/>
    <mergeCell ref="A3:H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  <col collapsed="false" customWidth="true" hidden="false" outlineLevel="0" max="7" min="7" style="1" width="44"/>
  </cols>
  <sheetData>
    <row r="1" customFormat="false" ht="27.75" hidden="false" customHeight="true" outlineLevel="0" collapsed="false">
      <c r="A1" s="7" t="s">
        <v>339</v>
      </c>
      <c r="B1" s="7"/>
      <c r="C1" s="7"/>
      <c r="D1" s="7"/>
      <c r="E1" s="7"/>
      <c r="F1" s="7"/>
      <c r="G1" s="7"/>
    </row>
    <row r="3" customFormat="false" ht="15" hidden="false" customHeight="true" outlineLevel="0" collapsed="false">
      <c r="A3" s="4" t="s">
        <v>340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8" t="s">
        <v>29</v>
      </c>
    </row>
    <row r="4" customFormat="false" ht="15" hidden="false" customHeight="true" outlineLevel="0" collapsed="false">
      <c r="A4" s="9" t="s">
        <v>341</v>
      </c>
    </row>
    <row r="5" customFormat="false" ht="18.75" hidden="false" customHeight="true" outlineLevel="0" collapsed="false">
      <c r="A5" s="6" t="s">
        <v>342</v>
      </c>
      <c r="B5" s="15" t="n">
        <v>0.556</v>
      </c>
      <c r="C5" s="15" t="n">
        <v>0.569</v>
      </c>
      <c r="D5" s="15" t="n">
        <v>0.553</v>
      </c>
      <c r="E5" s="15" t="n">
        <v>0.566</v>
      </c>
      <c r="F5" s="15" t="n">
        <v>0.581</v>
      </c>
      <c r="G5" s="11" t="s">
        <v>343</v>
      </c>
    </row>
    <row r="6" customFormat="false" ht="18.75" hidden="false" customHeight="true" outlineLevel="0" collapsed="false">
      <c r="A6" s="5" t="s">
        <v>47</v>
      </c>
      <c r="B6" s="13" t="n">
        <v>0.226</v>
      </c>
      <c r="C6" s="13" t="n">
        <v>0.306</v>
      </c>
      <c r="D6" s="13" t="n">
        <v>0.265</v>
      </c>
      <c r="E6" s="13" t="n">
        <v>0.274</v>
      </c>
      <c r="F6" s="13" t="n">
        <v>0.321</v>
      </c>
      <c r="G6" s="11" t="s">
        <v>343</v>
      </c>
    </row>
    <row r="7" customFormat="false" ht="18.75" hidden="false" customHeight="true" outlineLevel="0" collapsed="false">
      <c r="A7" s="6" t="s">
        <v>53</v>
      </c>
      <c r="B7" s="15" t="n">
        <v>0.221</v>
      </c>
      <c r="C7" s="15" t="n">
        <v>0.295</v>
      </c>
      <c r="D7" s="15" t="n">
        <v>0.212</v>
      </c>
      <c r="E7" s="15" t="n">
        <v>0.24</v>
      </c>
      <c r="F7" s="15" t="n">
        <v>0.286</v>
      </c>
      <c r="G7" s="11" t="s">
        <v>343</v>
      </c>
    </row>
    <row r="8" customFormat="false" ht="18.75" hidden="false" customHeight="true" outlineLevel="0" collapsed="false">
      <c r="A8" s="5" t="s">
        <v>344</v>
      </c>
      <c r="B8" s="13" t="n">
        <v>0.29</v>
      </c>
      <c r="C8" s="13" t="n">
        <v>0.355</v>
      </c>
      <c r="D8" s="13" t="n">
        <v>0.325</v>
      </c>
      <c r="E8" s="13" t="n">
        <v>0.322</v>
      </c>
      <c r="F8" s="13" t="n">
        <v>0.37</v>
      </c>
      <c r="G8" s="11" t="s">
        <v>343</v>
      </c>
    </row>
    <row r="9" customFormat="false" ht="18.75" hidden="false" customHeight="true" outlineLevel="0" collapsed="false">
      <c r="A9" s="6" t="s">
        <v>345</v>
      </c>
      <c r="B9" s="15" t="n">
        <v>0.126</v>
      </c>
      <c r="C9" s="15" t="n">
        <v>0.212</v>
      </c>
      <c r="D9" s="15" t="n">
        <v>0.164</v>
      </c>
      <c r="E9" s="15" t="n">
        <v>0.183</v>
      </c>
      <c r="F9" s="15" t="n">
        <v>0.222</v>
      </c>
      <c r="G9" s="11" t="s">
        <v>343</v>
      </c>
    </row>
    <row r="10" customFormat="false" ht="18.75" hidden="false" customHeight="true" outlineLevel="0" collapsed="false">
      <c r="A10" s="5" t="s">
        <v>346</v>
      </c>
      <c r="B10" s="13" t="n">
        <v>0.181</v>
      </c>
      <c r="C10" s="13" t="n">
        <v>0.302</v>
      </c>
      <c r="D10" s="13" t="n">
        <v>0.234</v>
      </c>
      <c r="E10" s="13" t="n">
        <v>0.26</v>
      </c>
      <c r="F10" s="13" t="n">
        <v>0.308</v>
      </c>
      <c r="G10" s="11" t="s">
        <v>343</v>
      </c>
    </row>
    <row r="12" customFormat="false" ht="15" hidden="false" customHeight="true" outlineLevel="0" collapsed="false">
      <c r="A12" s="9" t="s">
        <v>347</v>
      </c>
    </row>
    <row r="13" customFormat="false" ht="18.75" hidden="false" customHeight="true" outlineLevel="0" collapsed="false">
      <c r="A13" s="6" t="s">
        <v>348</v>
      </c>
      <c r="B13" s="14"/>
      <c r="C13" s="15" t="n">
        <v>0.411</v>
      </c>
      <c r="D13" s="15" t="n">
        <v>0.098</v>
      </c>
      <c r="E13" s="15" t="n">
        <v>0.087</v>
      </c>
      <c r="F13" s="15" t="n">
        <v>0.138</v>
      </c>
      <c r="G13" s="11" t="s">
        <v>343</v>
      </c>
    </row>
    <row r="14" customFormat="false" ht="18.75" hidden="false" customHeight="true" outlineLevel="0" collapsed="false">
      <c r="A14" s="5" t="s">
        <v>349</v>
      </c>
      <c r="B14" s="14"/>
      <c r="C14" s="13" t="n">
        <v>0.889</v>
      </c>
      <c r="D14" s="13" t="n">
        <v>-0.211</v>
      </c>
      <c r="E14" s="13" t="n">
        <v>0.23</v>
      </c>
      <c r="F14" s="13" t="n">
        <v>0.357</v>
      </c>
      <c r="G14" s="11" t="s">
        <v>343</v>
      </c>
    </row>
    <row r="15" customFormat="false" ht="18.75" hidden="false" customHeight="true" outlineLevel="0" collapsed="false">
      <c r="A15" s="6" t="s">
        <v>350</v>
      </c>
      <c r="B15" s="14"/>
      <c r="C15" s="15" t="n">
        <v>0.471</v>
      </c>
      <c r="D15" s="15" t="n">
        <v>0.369</v>
      </c>
      <c r="E15" s="15" t="n">
        <v>0.258</v>
      </c>
      <c r="F15" s="15" t="n">
        <v>0.306</v>
      </c>
      <c r="G15" s="11" t="s">
        <v>343</v>
      </c>
    </row>
    <row r="16" customFormat="false" ht="18.75" hidden="false" customHeight="true" outlineLevel="0" collapsed="false">
      <c r="A16" s="5" t="s">
        <v>351</v>
      </c>
      <c r="B16" s="14"/>
      <c r="C16" s="13" t="n">
        <v>0.915</v>
      </c>
      <c r="D16" s="13" t="n">
        <v>-0.187</v>
      </c>
      <c r="E16" s="13" t="n">
        <v>0.272</v>
      </c>
      <c r="F16" s="13" t="n">
        <v>0.386</v>
      </c>
      <c r="G16" s="11" t="s">
        <v>343</v>
      </c>
    </row>
    <row r="17" customFormat="false" ht="18.75" hidden="false" customHeight="true" outlineLevel="0" collapsed="false">
      <c r="A17" s="6" t="s">
        <v>352</v>
      </c>
      <c r="B17" s="14"/>
      <c r="C17" s="15" t="n">
        <v>0.564</v>
      </c>
      <c r="D17" s="15" t="n">
        <v>-0.104</v>
      </c>
      <c r="E17" s="15" t="n">
        <v>0.158</v>
      </c>
      <c r="F17" s="15" t="n">
        <v>0.047</v>
      </c>
      <c r="G17" s="11" t="s">
        <v>343</v>
      </c>
    </row>
    <row r="19" customFormat="false" ht="15" hidden="false" customHeight="true" outlineLevel="0" collapsed="false">
      <c r="A19" s="9" t="s">
        <v>353</v>
      </c>
    </row>
    <row r="20" customFormat="false" ht="18.75" hidden="false" customHeight="true" outlineLevel="0" collapsed="false">
      <c r="A20" s="5" t="s">
        <v>354</v>
      </c>
      <c r="B20" s="13" t="n">
        <v>3.89</v>
      </c>
      <c r="C20" s="13" t="n">
        <v>3.3</v>
      </c>
      <c r="D20" s="13" t="n">
        <v>2.38</v>
      </c>
      <c r="E20" s="13" t="n">
        <v>2.1</v>
      </c>
      <c r="F20" s="13" t="n">
        <v>2.26</v>
      </c>
      <c r="G20" s="11" t="s">
        <v>343</v>
      </c>
    </row>
    <row r="21" customFormat="false" ht="18.75" hidden="false" customHeight="true" outlineLevel="0" collapsed="false">
      <c r="A21" s="6" t="s">
        <v>355</v>
      </c>
      <c r="B21" s="10" t="n">
        <v>131174</v>
      </c>
      <c r="C21" s="10" t="n">
        <v>139649</v>
      </c>
      <c r="D21" s="10" t="n">
        <v>113762</v>
      </c>
      <c r="E21" s="10" t="n">
        <v>110916</v>
      </c>
      <c r="F21" s="10" t="n">
        <v>110174</v>
      </c>
      <c r="G21" s="11" t="s">
        <v>343</v>
      </c>
    </row>
    <row r="22" customFormat="false" ht="18.75" hidden="false" customHeight="true" outlineLevel="0" collapsed="false">
      <c r="A22" s="5" t="s">
        <v>356</v>
      </c>
      <c r="B22" s="12" t="n">
        <v>13932</v>
      </c>
      <c r="C22" s="12" t="n">
        <v>14817</v>
      </c>
      <c r="D22" s="12" t="n">
        <v>14701</v>
      </c>
      <c r="E22" s="12" t="n">
        <v>13253</v>
      </c>
      <c r="F22" s="12" t="n">
        <v>10818</v>
      </c>
      <c r="G22" s="11" t="s">
        <v>343</v>
      </c>
    </row>
    <row r="23" customFormat="false" ht="18.75" hidden="false" customHeight="true" outlineLevel="0" collapsed="false">
      <c r="A23" s="6" t="s">
        <v>357</v>
      </c>
      <c r="B23" s="15" t="n">
        <v>-2.26</v>
      </c>
      <c r="C23" s="15" t="n">
        <v>-2.3</v>
      </c>
      <c r="D23" s="15" t="n">
        <v>-1.86</v>
      </c>
      <c r="E23" s="15" t="n">
        <v>-1.76</v>
      </c>
      <c r="F23" s="15" t="n">
        <v>-1.61</v>
      </c>
      <c r="G23" s="11" t="s">
        <v>343</v>
      </c>
    </row>
    <row r="24" customFormat="false" ht="18.75" hidden="false" customHeight="true" outlineLevel="0" collapsed="false">
      <c r="A24" s="5" t="s">
        <v>358</v>
      </c>
      <c r="B24" s="13" t="n">
        <v>0.063</v>
      </c>
      <c r="C24" s="13" t="n">
        <v>0.059</v>
      </c>
      <c r="D24" s="13" t="n">
        <v>0.057</v>
      </c>
      <c r="E24" s="13" t="n">
        <v>0.047</v>
      </c>
      <c r="F24" s="13" t="n">
        <v>0.033</v>
      </c>
      <c r="G24" s="11" t="s">
        <v>343</v>
      </c>
    </row>
    <row r="26" customFormat="false" ht="15" hidden="false" customHeight="true" outlineLevel="0" collapsed="false">
      <c r="A26" s="9" t="s">
        <v>359</v>
      </c>
    </row>
    <row r="27" customFormat="false" ht="18.75" hidden="false" customHeight="true" outlineLevel="0" collapsed="false">
      <c r="A27" s="6" t="s">
        <v>360</v>
      </c>
      <c r="B27" s="10" t="n">
        <v>1185000</v>
      </c>
      <c r="C27" s="10" t="n">
        <v>1921000</v>
      </c>
      <c r="D27" s="10" t="n">
        <v>1140000</v>
      </c>
      <c r="E27" s="10" t="n">
        <v>1756000</v>
      </c>
      <c r="F27" s="10" t="n">
        <v>2030000</v>
      </c>
      <c r="G27" s="11" t="s">
        <v>343</v>
      </c>
    </row>
    <row r="28" customFormat="false" ht="18.75" hidden="false" customHeight="true" outlineLevel="0" collapsed="false">
      <c r="A28" s="5" t="s">
        <v>361</v>
      </c>
      <c r="B28" s="12" t="n">
        <v>1067758</v>
      </c>
      <c r="C28" s="12" t="n">
        <v>1796168</v>
      </c>
      <c r="D28" s="12" t="n">
        <v>1040939</v>
      </c>
      <c r="E28" s="12" t="n">
        <v>1658337</v>
      </c>
      <c r="F28" s="12" t="n">
        <v>1930644</v>
      </c>
      <c r="G28" s="11" t="s">
        <v>343</v>
      </c>
    </row>
    <row r="29" customFormat="false" ht="18.75" hidden="false" customHeight="true" outlineLevel="0" collapsed="false">
      <c r="A29" s="6" t="s">
        <v>362</v>
      </c>
      <c r="B29" s="21" t="n">
        <v>29.4</v>
      </c>
      <c r="C29" s="21" t="n">
        <v>25.3</v>
      </c>
      <c r="D29" s="21" t="n">
        <v>19</v>
      </c>
      <c r="E29" s="21" t="n">
        <v>23.8</v>
      </c>
      <c r="F29" s="21" t="n">
        <v>20.3</v>
      </c>
      <c r="G29" s="11" t="s">
        <v>343</v>
      </c>
    </row>
    <row r="30" customFormat="false" ht="18.75" hidden="false" customHeight="true" outlineLevel="0" collapsed="false">
      <c r="A30" s="5" t="s">
        <v>363</v>
      </c>
      <c r="B30" s="39" t="n">
        <v>5.9</v>
      </c>
      <c r="C30" s="39" t="n">
        <v>7</v>
      </c>
      <c r="D30" s="13" t="n">
        <v>3.7</v>
      </c>
      <c r="E30" s="39" t="n">
        <v>5.4</v>
      </c>
      <c r="F30" s="39" t="n">
        <v>5.5</v>
      </c>
      <c r="G30" s="11" t="s">
        <v>343</v>
      </c>
    </row>
    <row r="31" customFormat="false" ht="18.75" hidden="false" customHeight="true" outlineLevel="0" collapsed="false">
      <c r="A31" s="6" t="s">
        <v>364</v>
      </c>
      <c r="B31" s="21" t="n">
        <v>20.2</v>
      </c>
      <c r="C31" s="21" t="n">
        <v>19.6</v>
      </c>
      <c r="D31" s="21" t="n">
        <v>11.4</v>
      </c>
      <c r="E31" s="21" t="n">
        <v>16.7</v>
      </c>
      <c r="F31" s="21" t="n">
        <v>14.8</v>
      </c>
      <c r="G31" s="11" t="s">
        <v>343</v>
      </c>
    </row>
    <row r="32" customFormat="false" ht="18.75" hidden="false" customHeight="true" outlineLevel="0" collapsed="false">
      <c r="A32" s="5" t="s">
        <v>365</v>
      </c>
      <c r="B32" s="39" t="n">
        <v>27.6</v>
      </c>
      <c r="C32" s="39" t="n">
        <v>28.7</v>
      </c>
      <c r="D32" s="39" t="n">
        <v>19</v>
      </c>
      <c r="E32" s="39" t="n">
        <v>25.3</v>
      </c>
      <c r="F32" s="39" t="n">
        <v>27.9</v>
      </c>
      <c r="G32" s="11" t="s">
        <v>343</v>
      </c>
    </row>
    <row r="34" customFormat="false" ht="15" hidden="false" customHeight="true" outlineLevel="0" collapsed="false">
      <c r="A34" s="9" t="s">
        <v>366</v>
      </c>
    </row>
    <row r="35" customFormat="false" ht="18.75" hidden="false" customHeight="true" outlineLevel="0" collapsed="false">
      <c r="A35" s="6" t="s">
        <v>367</v>
      </c>
      <c r="B35" s="15" t="n">
        <v>0.123</v>
      </c>
      <c r="C35" s="15" t="n">
        <v>0.094</v>
      </c>
      <c r="D35" s="15" t="n">
        <v>0.111</v>
      </c>
      <c r="E35" s="15" t="n">
        <v>0.105</v>
      </c>
      <c r="F35" s="15" t="n">
        <v>0.15</v>
      </c>
      <c r="G35" s="11" t="s">
        <v>343</v>
      </c>
    </row>
    <row r="36" customFormat="false" ht="18.75" hidden="false" customHeight="true" outlineLevel="0" collapsed="false">
      <c r="A36" s="5" t="s">
        <v>113</v>
      </c>
      <c r="B36" s="13" t="n">
        <v>0.235</v>
      </c>
      <c r="C36" s="13" t="n">
        <v>0.26</v>
      </c>
      <c r="D36" s="13" t="n">
        <v>0.212</v>
      </c>
      <c r="E36" s="13" t="n">
        <v>0.226</v>
      </c>
      <c r="F36" s="13" t="n">
        <v>0.208</v>
      </c>
      <c r="G36" s="11" t="s">
        <v>343</v>
      </c>
    </row>
    <row r="37" customFormat="false" ht="18.75" hidden="false" customHeight="true" outlineLevel="0" collapsed="false">
      <c r="A37" s="6" t="s">
        <v>368</v>
      </c>
      <c r="B37" s="15" t="n">
        <v>0.151</v>
      </c>
      <c r="C37" s="15" t="n">
        <v>0.123</v>
      </c>
      <c r="D37" s="15" t="n">
        <v>0.14</v>
      </c>
      <c r="E37" s="15" t="n">
        <v>0.148</v>
      </c>
      <c r="F37" s="15" t="n">
        <v>0.141</v>
      </c>
      <c r="G37" s="11" t="s">
        <v>343</v>
      </c>
    </row>
    <row r="38" customFormat="false" ht="18.75" hidden="false" customHeight="true" outlineLevel="0" collapsed="false">
      <c r="A38" s="5" t="s">
        <v>369</v>
      </c>
      <c r="B38" s="13" t="n">
        <v>0.084</v>
      </c>
      <c r="C38" s="13" t="n">
        <v>0.076</v>
      </c>
      <c r="D38" s="13" t="n">
        <v>0.069</v>
      </c>
      <c r="E38" s="13" t="n">
        <v>0.073</v>
      </c>
      <c r="F38" s="13" t="n">
        <v>0.07</v>
      </c>
      <c r="G38" s="11" t="s">
        <v>343</v>
      </c>
    </row>
    <row r="39" customFormat="false" ht="18.75" hidden="false" customHeight="true" outlineLevel="0" collapsed="false">
      <c r="A39" s="6" t="s">
        <v>370</v>
      </c>
      <c r="B39" s="21" t="n">
        <v>135.3</v>
      </c>
      <c r="C39" s="21" t="n">
        <v>156.5</v>
      </c>
      <c r="D39" s="21" t="n">
        <v>186.8</v>
      </c>
      <c r="E39" s="21" t="n">
        <v>182.4</v>
      </c>
      <c r="F39" s="21" t="n">
        <v>181.3</v>
      </c>
      <c r="G39" s="11" t="s">
        <v>343</v>
      </c>
    </row>
    <row r="40" customFormat="false" ht="18.75" hidden="false" customHeight="true" outlineLevel="0" collapsed="false">
      <c r="A40" s="5" t="s">
        <v>371</v>
      </c>
      <c r="B40" s="12" t="n">
        <v>1349</v>
      </c>
      <c r="C40" s="12" t="n">
        <v>1645</v>
      </c>
      <c r="D40" s="12" t="n">
        <v>1514</v>
      </c>
      <c r="E40" s="12" t="n">
        <v>1686</v>
      </c>
      <c r="F40" s="12" t="n">
        <v>1932</v>
      </c>
      <c r="G40" s="11" t="s">
        <v>343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2026-04-09T17:01:47Z</dcterms:created>
  <dc:creator>openpyxl</dc:creator>
  <dc:description/>
  <dc:language>en-US</dc:language>
  <cp:lastModifiedBy/>
  <dcterms:modified xsi:type="dcterms:W3CDTF">2026-04-09T17:02:22Z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